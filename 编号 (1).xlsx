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<sst xmlns="http://schemas.openxmlformats.org/spreadsheetml/2006/main" count="835" uniqueCount="835">
  <si>
    <t/>
  </si>
  <si>
    <t>编号</t>
  </si>
  <si>
    <t>开始答题时间</t>
  </si>
  <si>
    <t>结束答题时间</t>
  </si>
  <si>
    <t>答题时长</t>
  </si>
  <si>
    <t>地理位置国家</t>
  </si>
  <si>
    <t>地理位置省</t>
  </si>
  <si>
    <t>地理位置市</t>
  </si>
  <si>
    <t>自定义字段</t>
  </si>
  <si>
    <t>IP</t>
  </si>
  <si>
    <t>UA</t>
  </si>
  <si>
    <t>Referrer</t>
  </si>
  <si>
    <t>1.队伍名称</t>
  </si>
  <si>
    <t>2.选项一：直接提交队伍履历（不推荐）.1</t>
  </si>
  <si>
    <t>2.选项一：直接提交队伍履历（不推荐）.2</t>
  </si>
  <si>
    <t>2.选项一：直接提交队伍履历（不推荐）.3</t>
  </si>
  <si>
    <t>2.选项一：直接提交队伍履历（不推荐）.4</t>
  </si>
  <si>
    <t>2.选项一：直接提交队伍履历（不推荐）.5</t>
  </si>
  <si>
    <t>2.选项一：直接提交队伍履历（不推荐）.6</t>
  </si>
  <si>
    <t>2.选项一：直接提交队伍履历（不推荐）.7</t>
  </si>
  <si>
    <t>2.选项一：直接提交队伍履历（不推荐）.8</t>
  </si>
  <si>
    <t>2.选项一：直接提交队伍履历（不推荐）.9</t>
  </si>
  <si>
    <t>3.选项二：请按照以下格式提交申请</t>
  </si>
  <si>
    <t>4.是否需要代请评委</t>
  </si>
  <si>
    <t>5.随评履历证明+评赛经验上传（如有）.1</t>
  </si>
  <si>
    <t>5.随评履历证明+评赛经验上传（如有）.2</t>
  </si>
  <si>
    <t>5.随评履历证明+评赛经验上传（如有）.3</t>
  </si>
  <si>
    <t>5.随评履历证明+评赛经验上传（如有）.4</t>
  </si>
  <si>
    <t>5.随评履历证明+评赛经验上传（如有）.5</t>
  </si>
  <si>
    <t>5.随评履历证明+评赛经验上传（如有）.6</t>
  </si>
  <si>
    <t>5.随评履历证明+评赛经验上传（如有）.7</t>
  </si>
  <si>
    <t>5.随评履历证明+评赛经验上传（如有）.8</t>
  </si>
  <si>
    <t>5.随评履历证明+评赛经验上传（如有）.9</t>
  </si>
  <si>
    <t>6.备注（如有）</t>
  </si>
  <si>
    <t>7.报名须知:在队伍报名此赛事前，请务必仔细阅读并充分理解《赛事章程》。</t>
  </si>
  <si>
    <t>7.报名须知:在队伍报名此赛事前，请务必仔细阅读并充分理解《队伍须知》的全部条款。通过点击勾选按钮，您表示已全面了解并同意遵守《队伍须知》的所有规定。</t>
  </si>
  <si>
    <t>7.报名须知:在队伍报名此赛事前，请队内随评务必仔细阅读并充分理解《评委须知》的全部条款。通过点击勾选按钮，您表示已全面了解并同意遵守《评委须知》的所有规定。</t>
  </si>
  <si>
    <t>中国</t>
  </si>
  <si>
    <t>福建省</t>
  </si>
  <si>
    <t>福州市</t>
  </si>
  <si>
    <t>2409:8934:ec8:2b7f:f831:19ff:fee4:5ff2</t>
  </si>
  <si>
    <t>Mozilla/5.0 (Linux; Android 15; PGEM10 Build/AP3A.240617.008; wv) AppleWebKit/537.36 (KHTML, like Gecko) Version/4.0 Chrome/142.0.7444.172 Mobile Safari/537.36 XWEB/1420045 MMWEBSDK/20250804 MMWEBID/8410 MicroMessenger/8.0.63.2920(0x28003FA6) WeChat/arm64</t>
  </si>
  <si>
    <t>显允—啊！打～</t>
  </si>
  <si>
    <t>黄华（领队）,福建江夏学院,2023,13313955607</t>
  </si>
  <si>
    <t>刘畅,保定理工学院,2019,15227566030,2025云游国际华语辩论邀请赛公开组殿军暨优秀人气队伍（16队 瑞士轮） 第一届广厦杯六强（网辩在打 48队） 第二届超大量杯网络辩论赛 季军 (网辩，32队) 第一届雨霁杯网络辩论赛·速通赛道 亚军(网辩，24队) 第二届清淮杯网络辩论赛 季军 (网辩，24队solo个人赛) 2024年“燕赵心语·未来知声”（保定）华语辩论邀请赛 亚军（线下市赛，8队循环单淘） 第二届苏堤春晓网络辩论赛 季军（网辩，48队） 第一届盼盼杯辩论赛 季军暨两场最佳辩手（网辩，32队） 第七届世界中医药学会联合会中医药主题辩论赛文旅组预选赛 六强暨单场最佳辩手(网辩全国赛，96队) 2025年第一届清年杯辩论赛 冠军（网辩，16队） 第二届一轮游杯网络辩论赛 冠军(网辩，32队) 第九届濠梁杯网络辩论赛 冠军（网辩，48队） 2025凌寒春季赛季军（solo  48队  ） 第一届灼言杯亚军（16队） 第四届千禧杯网络辩论赛 四强暨单场最佳辩手（网辩，32队）</t>
  </si>
  <si>
    <t>吴昊森,上海外国语大学,2024</t>
  </si>
  <si>
    <t>翁一凡,吉林外国语大学,2024</t>
  </si>
  <si>
    <t>张睿,山东工商学院,2023</t>
  </si>
  <si>
    <t>金瀚博,温州商学院,2024</t>
  </si>
  <si>
    <t>张月,山东政法学院,2024</t>
  </si>
  <si>
    <t>王腾鑫,山东政法学院,2024</t>
  </si>
  <si>
    <t>江俊蕾,安徽财经大学,2024</t>
  </si>
  <si>
    <t>吴欣虹,南昌理工学院,2023</t>
  </si>
  <si>
    <t>廖梓杰,东北林业大学,2021</t>
  </si>
  <si>
    <t>李东升,南昌理工学院,2022</t>
  </si>
  <si>
    <t>不需要</t>
  </si>
  <si>
    <t>mmexport1765420049390.jpg(链接7天有效，失效请重新同步)</t>
  </si>
  <si>
    <t>mmexport1765420050771.jpg(链接7天有效，失效请重新同步)</t>
  </si>
  <si>
    <t>mmexport1765420051988.jpg(链接7天有效，失效请重新同步)</t>
  </si>
  <si>
    <t>mmexport1765420053065.jpg(链接7天有效，失效请重新同步)</t>
  </si>
  <si>
    <t>mmexport1765420054473.jpg(链接7天有效，失效请重新同步)</t>
  </si>
  <si>
    <t>mmexport1765420055698.jpg(链接7天有效，失效请重新同步)</t>
  </si>
  <si>
    <t>mmexport1765420057023.jpg(链接7天有效，失效请重新同步)</t>
  </si>
  <si>
    <t>mmexport1765420058207.jpg(链接7天有效，失效请重新同步)</t>
  </si>
  <si>
    <t>在队伍报名此赛事前，请务必仔细阅读并充分理解《赛事章程》。</t>
  </si>
  <si>
    <t>在队伍报名此赛事前，请务必仔细阅读并充分理解《队伍须知》的全部条款。通过点击勾选按钮，您表示已全面了解并同意遵守《队伍须知》的所有规定。</t>
  </si>
  <si>
    <t>在队伍报名此赛事前，请队内随评务必仔细阅读并充分理解《评委须知》的全部条款。通过点击勾选按钮，您表示已全面了解并同意遵守《评委须知》的所有规定。</t>
  </si>
  <si>
    <t>110.90.253.154</t>
  </si>
  <si>
    <t>Mozilla/5.0 (Windows NT 10.0; Win64; x64) AppleWebKit/537.36 (KHTML, like Gecko) Chrome/130.0.0.0 Safari/537.36 QuarkPC/4.6.5.580</t>
  </si>
  <si>
    <t>橙子酱队</t>
  </si>
  <si>
    <t>冯文静（领队）,福州工商学院,2024级,F19839010257,无</t>
  </si>
  <si>
    <t>叶宇亮（随评）,广西外国语学院,2022 级,y2846586486,1，2023第二届霓裳杯网络辩论赛 32队 季军 2，2023第一届回音杯网络辩论赛 64队 八强 3，2024第一届大唐开元礼网络辩论赛 32队 季军 4，2024第一届寒假杯ADA 16队 亚军 5，2024第二届星辰·怪谈杯网络辩论赛 48队 六强 6，2024第一届蒙面杯网络辩论赛 32队 季军 7，2024第八届君子安雅杯 16队 冠军 8，2024第二届0717网络辩论赛 32队 亚军暨单场佳辩 9，2024第一届鹦鹉杯网络辩论赛 32队 季军 10，2024 ADA 夏季联赛 16 队 亚军 11，2025第一届鹭下秋水杯 32队 季军 12，2025第五届鸣晓杯 32队 冠军 半决赛佳辩 13，2025第二届衔华杯 32队 冠军 决赛佳辩 14，2025第一届洛书杯 32队 季军 15，2025第四届千禧杯 32队 冠军 16，2025第二届枫吟杯 32队 亚军 半决赛佳辩 17，2025第一届知北游高校辩论邀请赛 96队 亚军 18，2025第三届衔华杯 32队 季军 19，2025第一届雾都杯 32队 冠军 20，2025第二届盼盼杯 16队 冠军单场佳辩 21，2025第二届荷花杯 32队 季军 22，2025年第二届蒹葭杯 16队 亚军</t>
  </si>
  <si>
    <t>施少坦,福州工商学院,2024级,TAN_8tt,无</t>
  </si>
  <si>
    <t>罗涵玥,福州工商学院,2024级,I-have-been-here_,无</t>
  </si>
  <si>
    <t>蔡悦晨,福州工商学院,2024级,CC08152MDL,无</t>
  </si>
  <si>
    <t>游柔婧,福州工商学院,2024级,ich12317787,无</t>
  </si>
  <si>
    <t>余美琪,福州工商学院,2024级,ymq17805905229,无</t>
  </si>
  <si>
    <t>屏幕截图 2025-12-12 114331.png(链接7天有效，失效请重新同步)</t>
  </si>
  <si>
    <t>110.90.253.226</t>
  </si>
  <si>
    <t>Mozilla/5.0 (Windows NT 10.0; Win64; x64) AppleWebKit/537.36 (KHTML, like Gecko) Chrome/143.0.0.0 Safari/537.36 Edg/143.0.0.0</t>
  </si>
  <si>
    <t>https://open.weixin.qq.com/</t>
  </si>
  <si>
    <t>我不要当领队</t>
  </si>
  <si>
    <t>李佳雪（领队）,福州工商学院,2023级,18759285823</t>
  </si>
  <si>
    <t>许馨文,福州工商学院,2022级,13799528036</t>
  </si>
  <si>
    <t>雷飞艳,福州工商学院,2023级,diuzai123456</t>
  </si>
  <si>
    <t>邓承嘉,福州工商学院,2023级,19214974523</t>
  </si>
  <si>
    <t>纪瑞阳,福州工商学院,2023级,yvanzhoulv</t>
  </si>
  <si>
    <t>王泽琳,福州工商学院,2024级,iLinlin1027</t>
  </si>
  <si>
    <t>e7fa3ac9-99f7-4f06-84ff-384aed18ef5f.png(链接7天有效，失效请重新同步)</t>
  </si>
  <si>
    <t>天津市</t>
  </si>
  <si>
    <t>2409:8a02:2432:13d0:f55f:3b55:cbb8:e56b</t>
  </si>
  <si>
    <t>Mozilla/5.0 (Linux; Android 15; BRP-AN00 Build/HONORBRP-AN00; wv) AppleWebKit/537.36 (KHTML, like Gecko) Version/4.0 Chrome/142.0.7444.173 Mobile Safari/537.36 XWEB/1420087 MMWEBSDK/20251006 MMWEBID/6075 MicroMessenger/8.0.66.2980(0x28004238) WeChat/arm64</t>
  </si>
  <si>
    <t>ADA牌钙奶</t>
  </si>
  <si>
    <t>兰英博,福建师范大学,2018,qwe00231ewq,第十六届华语网辩甲级联赛冠军 第七届微光辩论赛个人赛亚军 2020年黄金联赛福州赛区季军最佳辩手榜第三名 第一届魔王挑战赛四强 第一届漱石枕流杯四强 第六届北美个人挑战赛季军 第四届扩容杯冠军 第三届桃园杯四强兼全程最佳 第二届连理杯八强兼全程最佳 第六届北美国际华语网络辩论赛四强 第二届矩阵杯季军 第二届时初杯八强 贞子杯冠军 银汐杯知否主题亚军</t>
  </si>
  <si>
    <t>陈涵璐,桂林旅游,2024级,piuryqymbl</t>
  </si>
  <si>
    <t>王瑞琦,中国传媒大学,2023级,wr7050601wr7,ADA辩论夏季个人赛 16强</t>
  </si>
  <si>
    <t>赵雪靖,天津商业大学宝德学院,2024级,Gcsjsl0u0</t>
  </si>
  <si>
    <t>MEITU_20251210_143340894.jpeg(链接7天有效，失效请重新同步)</t>
  </si>
  <si>
    <t>上海市</t>
  </si>
  <si>
    <t>202.120.234.78</t>
  </si>
  <si>
    <t>西工大附中隔壁辩论队</t>
  </si>
  <si>
    <t>白天畅（领队）,复旦大学,2022级本科,bbttccbtc,2024年第二十三届海峡两岸大学生辩论赛 冠军 2024年第十七届“华夏杯”国际华语辩论锦标赛 冠军 2025年ADA线上辩论全国赛 冠军 2025年第一届世界名校儒学辩论邀请赛 冠军</t>
  </si>
  <si>
    <t>马铭政,中国政法大学,2022级本科,mmzjay928,第四届金唐杯法治与文化辩论赛季军 第十九届首都高校环境文化季环保主题辩论赛亚军 2025年ADA线上辩论全国赛冠军</t>
  </si>
  <si>
    <t>苗宇涵（随评）,西安交通大学,2022级本科 ,MYH19591317911,第十二届国际问题辩论赛季军暨全程最佳辩手 2025未来知声世界青年思辨大赛季军暨全程最佳辩手 2025华语辩论世界杯名校邀请赛季军 第二届全国大学生审计辩论邀请赛冠军暨最佳辩手</t>
  </si>
  <si>
    <t>刘紫瑶,北京大学,2022级本科,zyliu0602,2025年ADA线上辩论全国赛 冠军</t>
  </si>
  <si>
    <t>郭思源,北京师范大学,2025级研究生,ayuan_bnu,第一届思君杯网络辩论赛 冠军 2025年第二十四届海峡两岸大学生辩论赛 团体优胜奖</t>
  </si>
  <si>
    <t>康景乔,悉尼大学,2025级研究生, KJ_jio_kk,2022 华语网辩超级联赛 亚军 32队 半决赛最佳辩手 2022年 第四届天印杯 季军 32队  2021 第一届云南辩论联赛 季军 网络赛 24队 决赛单场最佳辩手 声棒冠！2021 - AMSIB 第一届华语辩论赛 网络赛 36队 冠军 决赛最佳辩手</t>
  </si>
  <si>
    <t>白书畅,中央民族大学,2022级本科,papillon_diary,2025年ADA线上辩论全国赛 冠军</t>
  </si>
  <si>
    <t>苗宇涵-履历.docx(链接7天有效，失效请重新同步)</t>
  </si>
  <si>
    <t>吉林省</t>
  </si>
  <si>
    <t>长春市</t>
  </si>
  <si>
    <t>240e:410:100:d77c:1880:a863:57fb:2a24</t>
  </si>
  <si>
    <t>Mozilla/5.0 (Linux; Android 15; V2314A Build/AP3A.240905.015.A2; wv) AppleWebKit/537.36 (KHTML, like Gecko) Version/4.0 Chrome/142.0.7444.172 Mobile Safari/537.36 XWEB/1420045 MMWEBSDK/20250904 MMWEBID/6075 MicroMessenger/8.0.64.2940(0x28004050) WeChat/ar</t>
  </si>
  <si>
    <t>枫起言非时-嘴瓢没辙</t>
  </si>
  <si>
    <t>漆晨旭(领队),吉林农业大学,2023级,13576953517</t>
  </si>
  <si>
    <t>张阳佳 ,西安建筑科技大学,2024,zyj20041118xyy</t>
  </si>
  <si>
    <t>岳妤婕,西安建筑科技大学,2025,wxid_paeu2j2qx86m22</t>
  </si>
  <si>
    <t>徐泽   ,长春师范大学,2024,ra5921740</t>
  </si>
  <si>
    <t>包轩宁   ,河南工业大学,2024,yiieec993</t>
  </si>
  <si>
    <t>倪可馨 ,西安建筑科技大学,2024,nkx13720665834</t>
  </si>
  <si>
    <t>李政阳     ,西安建筑科技大学,2024,Alovegem910816</t>
  </si>
  <si>
    <t>邵建烨 ,西安建筑科技大学,2025,ssq640380</t>
  </si>
  <si>
    <t>张竞之   ,山西传媒学院 ,2024,zjzseventy</t>
  </si>
  <si>
    <t>郭晶 ,吉林农业大学,2023,G1725085680</t>
  </si>
  <si>
    <t>马晋阳 ,武汉科技大学,2022,m18727572956</t>
  </si>
  <si>
    <t>阳德宇  ,广州新华学院,2024,wxid_ifnlmofokh7s22</t>
  </si>
  <si>
    <t>需要</t>
  </si>
  <si>
    <t>厦门市</t>
  </si>
  <si>
    <t>2409:8a34:1ac5:9be0:8040:c737:3525:22ef</t>
  </si>
  <si>
    <t>Mozilla/5.0 (Windows NT 10.0; Win64; x64) AppleWebKit/537.36 (KHTML, like Gecko) Chrome/126.0.0.0 Safari/537.36 NetType/WIFI MicroMessenger/7.0.20.1781(0x6700143B) WindowsWechat(0x63090c33) XWEB/14185 Flue</t>
  </si>
  <si>
    <t>厦门大学辩论队</t>
  </si>
  <si>
    <t>李依霖 领队,厦门大学,2023级,liylin2824640081</t>
  </si>
  <si>
    <t>王馨语,厦门大学,2024级,Amber_07W</t>
  </si>
  <si>
    <t>吴炜韬,厦门大学,2024级,18960155490</t>
  </si>
  <si>
    <t>陆瑀之,厦门大学,2024级,LuOH-NH3</t>
  </si>
  <si>
    <t>孙婧涵,厦门大学,2024级,jhwudi666_S</t>
  </si>
  <si>
    <t>黄东烨,厦门大学,2024级,FlyMe2theMoon_Kev</t>
  </si>
  <si>
    <t>熊家煜,厦门大学,2023级,Yuyuyuyu050725hh</t>
  </si>
  <si>
    <t>马君励,厦门大学,2023级,wxid_tw571o0ljw7y22</t>
  </si>
  <si>
    <t>龙慧丽,厦门大学,2024级,kh62700</t>
  </si>
  <si>
    <t>余歆颜,厦门大学,2025级,woshicosine</t>
  </si>
  <si>
    <t>甘肃省</t>
  </si>
  <si>
    <t>2408:8474:b602:c4fe:9012:7e92:21bb:dc1a</t>
  </si>
  <si>
    <t>Mozilla/5.0 (Windows NT 10.0; Win64; x64) AppleWebKit/537.36 (KHTML, like Gecko) Chrome/132.0.0.0 Safari/537.36 NetType/WIFI MicroMessenger/7.0.20.1781(0x6700143B) WindowsWechat(0x63090a13) UnifiedPCWindowsWechat(0xf2541510) XWEB/17071 Flue</t>
  </si>
  <si>
    <t>小破茶馆</t>
  </si>
  <si>
    <t>徐博涛（领队）,甘肃政法大学,2022,17793709558</t>
  </si>
  <si>
    <t>朱泽中,河南工业大学,2020,859002217</t>
  </si>
  <si>
    <t>俞长春,西安理工大学,2024,CChun051127</t>
  </si>
  <si>
    <t>王子晨,河北医科大学临床学院,2024,wz060318</t>
  </si>
  <si>
    <t>张原赫,西安交通大学城市学院,2020,1623616975</t>
  </si>
  <si>
    <t>耿鑫,云南财经大学,2023,1679475481</t>
  </si>
  <si>
    <t>周汝佳,上海杉达学院,2021,FoxandDeer</t>
  </si>
  <si>
    <t>陈一堃,兰州财经大学,2023,KinetiKun</t>
  </si>
  <si>
    <t>朱雨晨,延安大学,2018,zyc506924353</t>
  </si>
  <si>
    <t>黄维愉,大连大学,2023,18778540461</t>
  </si>
  <si>
    <t>朱书剑,海南大学,2021,15222912373</t>
  </si>
  <si>
    <t>刘帛宏（随评）,江西服装学院,2021,L2273683180,第一届祁风杯冠军（32）无限制 第一届六稻杯冠军（32）无限制 第一届矩阵杯亚军（32）无限制 第一届木子杯–知行联赛亚军（24）无限制 第六届濠梁杯网络辩论赛冠军（48）无限制 第一届寻鸢杯网络辩论赛季军（32）无限制+单场佳辩 第一届星台杯辩论赛亚军（16）无限制+单场佳辩 第一届听雪杯亚军（32solo ） 2023star of debate 明辩之星春季联赛全程最佳辩手（64） 2023第二届时初杯网络辩论赛8强（64）无限制+单场佳辩。 2023第一届坚定杯辩论赛冠军（32）无限制+两场佳辩 2024第一届清淮杯网络辩论赛季军（32）无限制solo 2024第三届尽兴归舟网络辩论赛8强（64）无限制+单场佳辩 2024第二届北枳杯高校联赛季军（32）无限制+三场佳辩 2024第一届科一杯网络辩论赛冠军（32）无限制 2024第五季百辩101网络辩论赛冠军（32）无限制 第二届星辰杯系列赛事·竞技体育文化主题2024年冬季辩论赛季军（32）无限制 第二届星辰杯系列赛事·明日社会想象主题2024年冬季辩论赛冠军（48）无限制+演绎之星（内容佳辩） 第二届星辰杯系列赛事·怪谈悬疑科幻主题2024年冬季辩论赛亚军（48）无限制+全程最佳辩手 第二届星辰杯系列赛事·科技科普科幻主题2024年冬季辩论赛季军（32）无限制 2024第二届星辰杯系列赛事·沧海杯·爱情主题辩论赛冠军（32）无限制+最佳辩手  2024年第一届天合·桉楠杯网络辩论赛冠军（48）无限制+复赛，12进6最佳辩手 2024年第八届君子安雅辩论赛（32）无限制自由组队组冠军 2024年第四届尽兴归舟杯网络辩论赛（32）无限制季军+初赛最佳辩手 2024年第二届回音杯网络辩论赛（64）无限制季军+全程最佳辩手 2024年第三届北枳杯全国高校联赛（32）无限制亚军 2024年第二届翩羽杯网络辩论赛（32）无限制季军+初赛佳辩 2024年第一届荷花杯网络辩论赛（32）无限制冠军 2024年第一届云影杯网络辩论赛（32）无限制亚军</t>
  </si>
  <si>
    <t>马来西亚</t>
  </si>
  <si>
    <t>2401:3c00:10:82e1:a5e8:16a6:4f12:d47e</t>
  </si>
  <si>
    <t>Mozilla/5.0 (Macintosh; Intel Mac OS X 10_15_7) AppleWebKit/537.36 (KHTML, like Gecko) Chrome/132.0.0.0 Safari/537.36 NetType/WIFI MicroMessenger/7.0.20.1781(0x6700143B) MacWechat/3.8.7(0x13080712) UnifiedPCMacWechat(0xf264151a) XWEB/17078 Flue</t>
  </si>
  <si>
    <t>温良恭谨-踵事增华</t>
  </si>
  <si>
    <t>许涵昱 （领队）,赛城多媒体大学,2019,ObamaKoh2412</t>
  </si>
  <si>
    <t>余浩鸿,武汉理工大学,2023,wwbjl13715338321</t>
  </si>
  <si>
    <t>刘乾凯,浙江农林大学,2023研,Transkey-l</t>
  </si>
  <si>
    <t>舒佳妮,杭州师范大学,2025,sjn061231</t>
  </si>
  <si>
    <t>胡毅然 （ 随评 ）,安庆师范大学,2021,18133655592</t>
  </si>
  <si>
    <t>赵睿萱,上海市第六十中学,2026,z3153217256</t>
  </si>
  <si>
    <t>宁雅慧,山东中医药大学,2025,n1315303</t>
  </si>
  <si>
    <t>徐文彬,苏州城市学院 ,2024,xiasibuhuishiwanxia</t>
  </si>
  <si>
    <t>金李雪,宁波大学科学技术学院,2023,15168464695</t>
  </si>
  <si>
    <t>葛金源,中国农业大学,2024,13105236368</t>
  </si>
  <si>
    <t>戴天粼,东北师范大学,2024,dtl-csy0821-0307</t>
  </si>
  <si>
    <t>李骐丞,山西财经大学,2024,18074349124</t>
  </si>
  <si>
    <t>广东省</t>
  </si>
  <si>
    <t>广州市</t>
  </si>
  <si>
    <t>202.105.91.78</t>
  </si>
  <si>
    <t>Mozilla/5.0 (Windows NT 10.0; Win64; x64) AppleWebKit/537.36 (KHTML, like Gecko) Chrome/132.0.0.0 Safari/537.36</t>
  </si>
  <si>
    <t>https://open.weixin.qq.com/connect/qrconnect?appid=wxa04304ceaedaf538&amp;scope=snsapi_login&amp;redirect_uri=https%3A%2F%2Fwj.qq.com%2Fapi%2Fsession%2Fweixin%2Fcallback_mobile%3Fapp%3Dwebsite%26scene_type%3Drespondent%26system_redirect_url%3Dhttps%253A%252F%252F</t>
  </si>
  <si>
    <t>宫商角徵羽</t>
  </si>
  <si>
    <t>杜曦雯（领队）,广州商学院,2023,Libraswan_D1020,1.第一届云游国际华语辩论邀请赛 季军（281队） 2.第一届知北游高校辩论邀请赛 十六强 （96队） 3.第二届宝宝杯网络辩论赛 亚军（16队限制级）</t>
  </si>
  <si>
    <t>梁家升,广州商学院,2023,13660580498,1.第一届云游国际华语辩论邀请赛 季军（281队） 2.第一届知北游高校辩论邀请赛 十六强 （96队） 3.第二届宝宝杯网络辩论赛 亚军（16队限制级）</t>
  </si>
  <si>
    <t>林乐珊,广州商学院,2023,Zi7lok30117</t>
  </si>
  <si>
    <t>温子乔,广州商学院,2023,13059200366</t>
  </si>
  <si>
    <t>戴家祺,安徽工程大学,2024,18296139033</t>
  </si>
  <si>
    <t>娄书豪,澳门大学,2023,19925331108</t>
  </si>
  <si>
    <t>李振兴,广州商学院,2024,STE1LAN_LEE</t>
  </si>
  <si>
    <t>黄文宪,广东外语外贸大学,2024,New-LingQing</t>
  </si>
  <si>
    <t>潘映羽,江苏大学,2024,13616127634</t>
  </si>
  <si>
    <t>刘思羽,上海市第六十中学,2026,13524510823,知北游·华语辩论锦标赛中学组 冠军暨全程最佳辩手 第七届全国中小学生华语辩论锦标赛总决赛 高中组团队三等奖（72队） 第七届全国中小学生华语辩论锦标赛总决赛 高中个人组 优秀奖 第五届云锦杯中学生华语辩论邀请赛 亚军暨五佳辩手（48队） 第七届全国赛中小学生华语辩论锦标赛秋季赛高中丁组 亚军（87队） 第八届全国赛中小学生华语辩论锦标赛秋季赛高中丁组 亚军暨四场最佳辩手（87队）</t>
  </si>
  <si>
    <t>孙彬涵,山东中医药大学,2024,binhannnn</t>
  </si>
  <si>
    <t>于耀翔,山东大学,2017,17860622580</t>
  </si>
  <si>
    <t>ScreenShot_2025-12-14_164015_876.png(链接7天有效，失效请重新同步)</t>
  </si>
  <si>
    <t>随评：陈钰颖 华南农业大学 2023级</t>
  </si>
  <si>
    <t>山西省</t>
  </si>
  <si>
    <t>太原市</t>
  </si>
  <si>
    <t>2408:8226:27e:7830:80cd:1c6e:e204:a401</t>
  </si>
  <si>
    <t>Mozilla/5.0 (Linux; Android 15; PHV110 Build/AP3A.240617.008; wv) AppleWebKit/537.36 (KHTML, like Gecko) Version/4.0 Chrome/142.0.7444.173 Mobile Safari/537.36 XWEB/1420087 MMWEBSDK/20251006 MMWEBID/1373 MicroMessenger/8.0.66.2980(0x280042C2) WeChat/arm64</t>
  </si>
  <si>
    <t>兆天&amp;amp;凊毕联队（made in Putian）</t>
  </si>
  <si>
    <t>张舒媛（领队）,山西师范大学,2023,zsy13835656985</t>
  </si>
  <si>
    <t>栗嘉（随评）,天津理工大学,2024,13070576798</t>
  </si>
  <si>
    <t>黄卓瑨,鲁东大学,2022</t>
  </si>
  <si>
    <t>申翱歌,南昌航空大学,2022,sag104731</t>
  </si>
  <si>
    <t>张驰,天津城建大学,2020,CCchi13212178280</t>
  </si>
  <si>
    <t>杨阳,江西农业大学,2020</t>
  </si>
  <si>
    <t>赵晨昕,江西财经大学,2023研</t>
  </si>
  <si>
    <t>高涤非,天津理工大学,2020</t>
  </si>
  <si>
    <t>张子韵,江西财经大学,2024研</t>
  </si>
  <si>
    <t>陈旻昊,南昌大学,2018</t>
  </si>
  <si>
    <t>王祥照,西安建筑科技大学,2024</t>
  </si>
  <si>
    <t>祁士轩,山西师范大学,2024</t>
  </si>
  <si>
    <t>兰州市</t>
  </si>
  <si>
    <t>2409:8975:e83:4570:b836:a7ff:fe75:247d</t>
  </si>
  <si>
    <t>Mozilla/5.0 (Linux; Android 15; V2364A Build/AP3A.240905.015.A2; wv) AppleWebKit/537.36 (KHTML, like Gecko) Version/4.0 Chrome/142.0.7444.173 Mobile Safari/537.36 XWEB/1420087 MMWEBSDK/20251006 MMWEBID/5323 MicroMessenger/8.0.66.2980(0x28004236) WeChat/ar</t>
  </si>
  <si>
    <t>怀瑾论社</t>
  </si>
  <si>
    <t>陈佳慧领队,兰州财经大学,大二,17811176217,2024年农林经济管理学院“绘声杯＂最佳辩手 ；2025年第五届“三炮台＂杯网络辩论赛冠军； 2024年兰州财经大学第六届“新生华彩＂辩论赛优秀奖</t>
  </si>
  <si>
    <t>柴琦胜,兰州财经大学,大二,c2258549867,2024年农林经济管理学院“绘声杯＂最佳辩手； 2024年农林经济管理学院“绘声杯＂冠军； 2025年第五届“三炮台＂杯网络辩论赛冠军； 2024年兰州财经大学第六届“新生华彩＂辩论赛优秀奖</t>
  </si>
  <si>
    <t>杨沁,兰州财经大学,大二,suny54_wind11,农林经济管理学院绘声杯亚军； 2024年第三届奇险杯16强</t>
  </si>
  <si>
    <t>蔡悦,兰州财经大学,大二,v15293808221anti,2024年新生华彩辩论赛最佳辩手＋优秀奖 2024年校园大官辩论赛八强 农林经济管理学院绘声杯亚军＋最佳辩手</t>
  </si>
  <si>
    <t xml:space="preserve">马文翰,兰州财经大学,大一,MWH0600309,2025兰州财经大学校园大观赛冠军；2025兰州财经大学青春华彩优秀奖及最佳辩手；2025农林经济管理学院“绘声杯”冠军 </t>
  </si>
  <si>
    <t>邢宇姣,兰州财经大学,大一,x13830247571</t>
  </si>
  <si>
    <t>何泉德,兰州财经大学,大一,wxid_rjnqgh3iawgw22</t>
  </si>
  <si>
    <t>夏宇浩,兰州财经大学,大一,XXXyyyhhh537</t>
  </si>
  <si>
    <t>郭南南 ,兰州财经大学,大一,wxid_xsgub7shvmeu22</t>
  </si>
  <si>
    <t>申香芝,兰州财经大学,大一,s2163028492</t>
  </si>
  <si>
    <t>黄翔,兰州财经大学,大一,wxid_mt82f0llznoh22</t>
  </si>
  <si>
    <t>李佳琪,兰州财经大学,大一,wxid_bsa56lwg93x122</t>
  </si>
  <si>
    <t>陕西省</t>
  </si>
  <si>
    <t>西安市</t>
  </si>
  <si>
    <t>240e:454:4210:2c0a:8075:aaff:fe6d:5de1</t>
  </si>
  <si>
    <t>Mozilla/5.0 (Linux; Android 16; V2520A) AppleWebKit/537.36 (KHTML, like Gecko) Chrome/131.0.6778.200 Mobile Safari/537.36 VivoBrowser/27.3.0.0</t>
  </si>
  <si>
    <t>宫商角徵羽-doremisola</t>
  </si>
  <si>
    <t>李昱慷（领队）,西京学院,2024,lilt2005,第一届雪中平杯季军（无限制32队） 第一届寻境杯季军（无限制32队） 第二届可可杯冠军（无限制24队） 第三届朝日杯亚军，单场最佳辩手（限制级32队）</t>
  </si>
  <si>
    <t>何嘉维（随评）,武汉理工大学,2024,18910268526,1.2025年第二届衔华杯网络辩论赛冠军（网辩32队） 2.2025年第五届鸣晓杯网络辩论赛浮云赛道冠军（网辩32队） 3.2025年第一届鹭下秋水辩论赛季军（网辩32队） 4.2025年识渡华语辩论联赛“识渡·折琼”赛道季军（网辩32队） 5.2025年第十二届湖北高校新闻专业辩论联盟邀请赛亚军暨单场最佳辩手（省赛9队）  6.2025年第八届“经世之才”武汉市财经辩论邀请赛冠军暨全程最佳辩手（市赛16队） 7.2025年第四届天合 ·桉楠杯双人制网络辩论赛冠军（网辩32队） 8.2025年识渡华语辩论邀请赛夏季赛鸣珂赛道季军（网辩32队） 9.2025年第二届盼盼杯网络辩论赛冠军（网辩16队） 10.2025年第二届荷花杯网络辩论赛季军暨单场最佳辩手（网辩32队） 11.2025年第一届微烛杯网络辩论赛冠军暨全程最佳辩手（限制23级）（16队） 12.2025年第六届横纵杯辩论赛冠军暨全程最佳辩手（限制24级）（16队） 13.2025年第三届卡皮巴拉杯网络辩论赛冠军暨全程最佳辩手（限制24级）（48队） 14.2025年第二届我是奶龙杯网络辩论赛冠军暨全程最佳辩手（限制24级）（24队） 15.2025年第八届望舒北辰网络辩论赛季军暨全程最佳辩手（限制24级）（56队） 16.2025年第一届寻境杯网络辩论赛季军暨单场最佳辩手（网辩32队） 17.2025年第二届可可杯网络辩论赛冠军暨单场最佳辩手（网辩24队）</t>
  </si>
  <si>
    <t>黄浩,南昌交通大学,2023,1.第一届江西省辩论锦标赛亚军（16队省赛） 2.第一届云影杯冠军（32队） 3.第二届回音杯八强（64队） 4.第二届卡皮巴拉（限制级）季军   三场佳辩 5.第一届隽永杯（限制级）季军 6.第一届朋克小猫无限制 亚军 7.第六届双辛辩论赛亚军 （16队省赛）三场佳辩 8.2025sod春季赛 八强（42队四轮循环） 9.2025上海杯夏季赛线下 季军</t>
  </si>
  <si>
    <t>金宣希,广州工程大学,2022,jin74745,沧海杯季军（32） 寻迹杯季军（线下18）单场最佳 第一届未来知声世界青年思辨大赛季军（54） 第三届食话食说（64）冠军决赛佳辩 2025上海杯季军（48线下） 第二届初度杯（48）单场最佳 25识渡杯季军 宝宝杯亚军单场佳辩 寻境杯季军（32）单场佳辩</t>
  </si>
  <si>
    <t>李伟杰,重庆大学,2021,lllifeonlyonce,第七届世界中联中医药主题辩论赛总决赛季军（320队） 2025第五届马来西亚艺华杯国际华语辩论赛（24队），季军，两场最佳 2025第一届励耘杯西南辩论锦标赛（24队），亚军，两场最佳 2024华语辩论世界杯重庆赛区（8队），冠军，全程最佳辩手 2024第一届京津冀华语辩论邀请赛预选赛（32队），季军 2024第一届松鼠杯个人solo赛，冠军（16队） 2024第二十四届“华语网辩”（32队），季军 2024第四十三届“校园之春”辩论赛（省赛26队），季军，单场佳辩 2023湖南省高校大学生辩论交流赛（56队），冠军 2024湖南省高校大学生辩论赛（39队），亚军，两场佳辩 2023第三届“桃园杯”网络辩论赛（32队），冠军 2023第一届“寒木春华”网络辩论赛（48队），季军 2023第一届“木子杯”网络辩论赛（24队），冠军 2024第七届北美国际华语辩论邀请赛华西赛区（32队），季军，单场最佳 2024第一届“ADA全国辩论公开赛”（34队），乙组亚军，单场佳辩 2024第二届“珠玉杯”网络辩论赛（32队），季军，单场佳辩 2024第八届君子安雅辩论赛（32队），自由组冠军，两场佳辩 2024第一届“日月合鸣”（64队），亚军，单场佳辩 2024第三届“淮水杯网络辩论赛”（48队），殿军，单场佳辩 2024第二届“ADA夏季辩论公开赛”（16队），亚军，单场佳辩 2024第二届星辰杯全国大学生辩论巡回赛川渝赛区（16队），冠军 ，单场佳辩 2024第一届“年华杯”网络辩论赛（32队），季军 2024第三届“风启杯”网络辩论赛（32队），亚军 2024第一届“12138杯”网络辩论赛（32队），亚军 2024第一届“金风玉露”网络辩论赛（42队），亚军 2024第三届超大量杯辩论赛（64队），亚军 2024第二届0717网络辩论赛（32队），亚军 2024第二届轻语杯网络辩论赛（32队），亚军 2024第三届千禧杯网络辩论赛（32队），季军 2024第五届清友杯网络辩论赛（32队），季军，两场最佳 2024第一届山城杯网络辩论赛（32队），亚军，单场最佳 2025 第三届ADA全国辩论公开赛（100队），亚军，全程最佳 2025第一届宝宝杯网络辩论赛（64队），季军，单场最佳 2025第三届安徽辩论锦标赛（48队），冠军，单场最佳 2025第一届清年杯网络辩论赛（16队），冠军 2025第二届识渡杯华语辩论联赛（32队），季军，单场最佳 2025第三届识渡杯华语辩论联赛（32队），季军，单场最佳 2025第一届霏霏落木网络辩论赛（16队），亚军 2025第四届千禧杯网络辩论赛（32队），冠军，单场最佳 2025第一届星辰杯西北联赛（28队），季军 2025第四届桉楠杯网络辩论赛（32队），冠军 2025第一届雾凇杯网络辩论赛（16队），全程最佳辩手 2025第一届丹书白马网络辩论赛（42队），季军 2025 第三届月下寻鹿网络辩论赛（32队），冠军 2025 第一届寻境杯网络辩论赛（32队），季军</t>
  </si>
  <si>
    <t>杨薏琳,长安大学,2024,13045441455,第二届宝宝杯网络辩论赛亚军（16队） 第二届雪中平杯辩论赛四强（32队） 第一届冬诗·久慕鸿才冠军（32队）决赛佳辩 第一届寻镜杯四强（32队） 第二届可可杯冠军（24队）</t>
  </si>
  <si>
    <t>费健华,西安建筑科技大学,2021,13766133558,第一届西北辩论联赛暨2025星辰世巡赛·西北赛区（28队网辩）季军+场次最佳辩手 第一届陕西省华语辩论公开赛（24队实体赛）季军 第一届贞子杯脑洞主题网络辩论赛（16队网辩）亚军+场次最佳辩手 2023年华语辩论世界杯西安赛区冠军 2022年华语辩论世界杯西安赛区季军 2024年华语辩论世界杯西安赛区亚军 第二届可可杯冠军 第一届冬诗·久慕鸿才冠军 第一届赓续杯季军</t>
  </si>
  <si>
    <t>崔润石,长安大学,2022,18767371766</t>
  </si>
  <si>
    <t>陆米祺,长安大学,2021,13289263036</t>
  </si>
  <si>
    <t>于淑均,曼彻斯特大学,2023,18522732470,第四届山有木兮网络辩论赛-季军 第一届似锦杯辩论赛-冠军暨单场最佳辩手 第二十四届锋芒杯个人辩论赛-季军 2025年上海杯夏季赛大学组-季军 第三届月下寻鹿网络辩论赛-冠军</t>
  </si>
  <si>
    <t>王若川,中国民航大学,2023,18910268526,1、国网天津电力杯第十届天津环境文化节“高校环保辩论赛”二等奖（地区赛）非限制级 2、2025年华语辩论群岛文化邀请赛·飞鸟季 八强（64队）非限制级 3、2025 识渡华语辩论邀请赛夏季赛 季军（32队）非限制级 4、第三届月下寻鹿网络辩论赛 冠军（32队）非限制级 5、2025天津市大学生“护航青春·津密先行”保密主题辩论赛 八强 （地区赛）含佳 非限制级 6、第二届宝宝杯网络辩论赛 亚军 （16队）限制级 7、第一届开心小孩杯 季军 限制级 8、 2025年第一届寻境杯网络辩论赛季军（网辩32队 9、2025年第二届可可杯网络辩论赛冠军（网辩24队）</t>
  </si>
  <si>
    <t>mmexport1765729232623.jpg(链接7天有效，失效请重新同步)</t>
  </si>
  <si>
    <t>mmexport1765729235309.jpg(链接7天有效，失效请重新同步)</t>
  </si>
  <si>
    <t>mmexport1765729237656.jpg(链接7天有效，失效请重新同步)</t>
  </si>
  <si>
    <t>mmexport1765729258284.jpg(链接7天有效，失效请重新同步)</t>
  </si>
  <si>
    <t>mmexport1765729295546.jpg(链接7天有效，失效请重新同步)</t>
  </si>
  <si>
    <t>mmexport1765729271530.jpg(链接7天有效，失效请重新同步)</t>
  </si>
  <si>
    <t>mmexport1765729269057.jpg(链接7天有效，失效请重新同步)</t>
  </si>
  <si>
    <t>mmexport1765729260989.jpg(链接7天有效，失效请重新同步)</t>
  </si>
  <si>
    <t>mmexport1765729321800.jpg(链接7天有效，失效请重新同步)</t>
  </si>
  <si>
    <t>上届亚军直邀</t>
  </si>
  <si>
    <t>2409:8934:4f0:33c:1881:45bf:dd31:e88c</t>
  </si>
  <si>
    <t>Mozilla/5.0 (Linux; Android 15; PKZ110 Build/AP3A.240617.008; wv) AppleWebKit/537.36 (KHTML, like Gecko) Version/4.0 Chrome/142.0.7444.172 Mobile Safari/537.36 XWEB/1420067 MMWEBSDK/20250904 MMWEBID/2173 MicroMessenger/8.0.65.2960(0x280041F4) WeChat/arm64</t>
  </si>
  <si>
    <t>阿拉蛋神登</t>
  </si>
  <si>
    <t>邓雅馨 领队,福建船政交通职业学院,25,xhq272926</t>
  </si>
  <si>
    <t>叶铮兴,福建船政交通职业学院,25,yzx3032546400</t>
  </si>
  <si>
    <t>童国锋,福建船政交通职业学院,25,tgf18350810492</t>
  </si>
  <si>
    <t>陈欣阳,福建船政交通职业学院,25</t>
  </si>
  <si>
    <t>李欣楠,福建船政交通职业学院,25,Lxxm2467</t>
  </si>
  <si>
    <t>王泽睿,福建船政交通职业学院,25,13285903595</t>
  </si>
  <si>
    <t>李莹俊,通化师范学院,23,13390520769</t>
  </si>
  <si>
    <t>赵靖泽,桂林师范学院,18</t>
  </si>
  <si>
    <t>江文清,福建船政交通职业学院,23,2024原上春柳杯辩论赛冠军 2024第二届百城杯辩论赛亚军 2024乐然杯辩论赛季军 2024第一届大历神杯辩论赛冠军 2024第一届南湘杯辩论赛季军 2024第一届发财杯辩论赛季军 2024第一届听语杯辩论赛亚军 2025第一届青蛙杯辩论赛季军 2025第一届小柿子杯辩论赛亚军 2025第二届南柯杯辩论赛 2025第一届志合杯辩论赛季军2025.2 2025第一届白鹤杯辩论赛季军 2025第一届玄序杯辩论赛冠军 2025闽辩辩论赛季军 2025星辰杯辩论赛季军</t>
  </si>
  <si>
    <t xml:space="preserve">赵锦浩,温州职业技术学院,22,2025星辰杯世界大学生辩论巡回赛·专科高校资格赛冠军暨最佳辩手 2025年第一届知北游高校辩论邀请赛（98队）八强 2025星辰杯世界大学生辩论巡回赛（48队）季军 2025年第六届云衔杯（64队）八强 2025第一届灼言杯网络辩论赛（16队）亚军 2024年第一届四季之声·青蛙杯网络辩论赛（24队）季军 2025年轩辕·洛书杯网络辩论赛（32队）季军  </t>
  </si>
  <si>
    <t>贺凯,河北大学,23,18831232785,&amp;#34;2024“燕赵心语，未来之声”华语辩论世界杯（保定赛区）冠军   8队/非限制 2024第一届青蛙杯 季军  24队/非限制 2025云游·国际高校巡回辩论赛  8强  282队/非限制 2025第二届燕赵杯－河北省高校辩论邀请赛 亚军  20队/非限制 2025第一届 知北游高校辩论邀请赛  8强 96队/ 非限制 2025第一届谏言杯 季军  32队/非限制 2025 第四届松鼠杯网络辩论赛（solo）冠军暨全程最佳辩手  16队/非限制 2025星辰杯世界大学生辩论巡回赛·科幻与未来科技发展主题赛区暨初赛最佳辩手 季军 48队/非限制 2025云游·国际华语辩论邀请赛 24队 季军/非限制 2025第二届雪中平网络辩论赛 32队 亚军/非限制 2025第二届鸿鹄杯网络辩论赛  32队  冠军/非限制 2025河北省弥古杯大学生诚信辩论大赛暨京津冀晋大学生诚信辩论大赛河北赛区 16队 亚军/非限制&amp;#34;</t>
  </si>
  <si>
    <t>单晓明 随评,首都经济贸易大学,22,18513989996,&amp;#34;2025年第十七届“博创杯”国际峰会选拔赛冠军（16队） 2024第一届年华杯冠军暨全程最佳辩手（32队） 2024星辰杯世界大学生辩论巡回赛·科幻与未来科技发展主题赛区季军暨全程科幻之星（48队） 2024第六届原上春柳杯冠军暨全程最佳辩手（32队） 2024年星辰杯世界大学生辩论巡回赛·总决赛 亚军（24队） 2025年第三届年华杯冠军暨单场最佳辩手（16队） 2025星辰杯世界大学生辩论巡回赛·科幻与未来科技发展主题赛区冠军暨单场最佳辩手（48队无限制实体） 2025第一届宁夏回族自治区高校辩论公开赛暨2025星辰杯世界大学生辩论巡回赛•宁夏赛区冠军暨单场最佳辩手（无限制8队实体） 2025第一届羁绊杯冠军暨单场最佳辩手（32队） 2025第六届鸣晓杯亚军暨单场最佳辩手（32队） 2025知北游高校邀请赛16强暨单场最佳辩手（96队） 2025第五届云衔杯七强暨单场最佳辩手（56队） 2025第二届苏提春晓六强暨单场最佳辩手（48队） 2025第五届鸣晓杯冠军暨单场最佳辩手（32队） 2025第一届鹭下秋水季军暨单场最佳辩手（32队） 2025第一届青蛙杯亚军暨单场最佳辩手（24队）&amp;#34;</t>
  </si>
  <si>
    <t>评委量准.docx(链接7天有效，失效请重新同步)</t>
  </si>
  <si>
    <t>江苏省</t>
  </si>
  <si>
    <t>南京市</t>
  </si>
  <si>
    <t>2409:8924:e1b:5f7:881c:ffff:fecd:e7da</t>
  </si>
  <si>
    <t>Mozilla/5.0 (Linux; Android 12; JAD-AL00 Build/HUAWEIJAD-AL00; wv) AppleWebKit/537.36 (KHTML, like Gecko) Version/4.0 Chrome/142.0.7444.172 Mobile Safari/537.36 XWEB/1420045 MMWEBSDK/20251006 MMWEBID/9186 MicroMessenger/8.0.66.2980(0x28004238) WeChat/arm6</t>
  </si>
  <si>
    <t>西柚西恩</t>
  </si>
  <si>
    <t>楼尚（领队）,南京传媒学院,2024,lou19857154408</t>
  </si>
  <si>
    <t>王歆尧,南京传媒学院,2025,18339215065</t>
  </si>
  <si>
    <t>应慧,南京传媒学院,2024,L15705200886</t>
  </si>
  <si>
    <t>杨智超（随评）,南京传媒学院,2021,yichuan4 ,第十六届南京市赛亚军 第一届秦淮杯高校辩论邀请赛季军 第一届忭忻憪熹杯网络辩论赛亚军及最佳辩手 第一届久慕鸿才杯网络辩论赛亚军及最佳辩手 第一届青青竹言杯网络辩论赛冠军及全程最佳辩手</t>
  </si>
  <si>
    <t>郑简,南京传媒学院,2024,zjyssll1226</t>
  </si>
  <si>
    <t>王勃渊 ,南京传媒学院,2025,wangboyuan9998</t>
  </si>
  <si>
    <t xml:space="preserve">顾祎,南京传媒学院,2022,kissss11_ </t>
  </si>
  <si>
    <t>刘纯妤,南京传媒学院,2023,Lcccccyu_0715</t>
  </si>
  <si>
    <t>王玉,南京传媒学院,2025,OnoSan02TvT</t>
  </si>
  <si>
    <t>安芃瑾,南京传媒学院,2024,13255382561</t>
  </si>
  <si>
    <t>白子玉格,南京传媒学院,2023,Bai53510</t>
  </si>
  <si>
    <t>厉小涵 ,南京传媒学院,2025,Lxhdrssjszbd</t>
  </si>
  <si>
    <t>Screenshot_20251215_172706_com.tencent.mm_edit_81405356573424.jpg(链接7天有效，失效请重新同步)</t>
  </si>
  <si>
    <t>mmexport1765790774606.jpg(链接7天有效，失效请重新同步)</t>
  </si>
  <si>
    <t>mmexport1765790388777.jpg(链接7天有效，失效请重新同步)</t>
  </si>
  <si>
    <t>mmexport1765790387285.jpg(链接7天有效，失效请重新同步)</t>
  </si>
  <si>
    <t>mmexport1765790385813.jpg(链接7天有效，失效请重新同步)</t>
  </si>
  <si>
    <t>mmexport1765790384435.jpg(链接7天有效，失效请重新同步)</t>
  </si>
  <si>
    <t>mmexport1765790383104.jpg(链接7天有效，失效请重新同步)</t>
  </si>
  <si>
    <t>湖北省</t>
  </si>
  <si>
    <t>武汉市</t>
  </si>
  <si>
    <t>113.57.237.78</t>
  </si>
  <si>
    <t>日日思君不见君</t>
  </si>
  <si>
    <t>郭康磊（领队）,武汉理工大学,2023,18872280897,校新生赛四强</t>
  </si>
  <si>
    <t>沈帅（随评）,无锡学院,2023,Kyrie-Irving-xhsb,没参加过</t>
  </si>
  <si>
    <t>王一帆,云南财经大学,2019,EEEEEEEewan,2019届云南财经大学物流学院新生赛冠军</t>
  </si>
  <si>
    <t>代嘉怡,湖北大学,2023,djy20050407,没参加过</t>
  </si>
  <si>
    <t xml:space="preserve">罗圣开,福建师范大学,2023,sk_102916 </t>
  </si>
  <si>
    <t>邱鑫豪,长沙大学,2020,hr0821_</t>
  </si>
  <si>
    <t>王志铭,江南大学,2025研,wzm155171</t>
  </si>
  <si>
    <t>谢尚扬, 湖南农业大学东方科技学院 ,2021 ,18861569698</t>
  </si>
  <si>
    <t>刘盛豪 ,江南大学,2024,RIU_SoCooool</t>
  </si>
  <si>
    <t>周毅伟,江南大学 ,2021,Yael_Chou</t>
  </si>
  <si>
    <t>许凌怡,南京工程学院,2023,xlyxly_0114</t>
  </si>
  <si>
    <t>袁星航,福建师范大学,2023,just like you</t>
  </si>
  <si>
    <t>微信图片_20251215190036_153_761.jpg(链接7天有效，失效请重新同步)</t>
  </si>
  <si>
    <t>微信图片_20251215190037_154_761.jpg(链接7天有效，失效请重新同步)</t>
  </si>
  <si>
    <t>微信图片_20251215190038_155_761.jpg(链接7天有效，失效请重新同步)</t>
  </si>
  <si>
    <t>微信图片_20251215190735_886_44.jpg(链接7天有效，失效请重新同步)</t>
  </si>
  <si>
    <t>河北医科大学辩论队教练 塔里木大学辩论队教练 1.2025未来知声世界青年思辨大赛青年组亚军（54队） 2.2025江苏省超级辩论联赛季军（暨单场优秀辩手） 3.第二届樱花杯冠军（32队） 4.第二届不器杯亚军（32队） 5.第一届岁暮流盼·无尽夏篇亚军（32队） 6.第一届终焉杯·良人赛道冠军（16队）（暨三场最佳辩手）（暨全程最佳辩手） 7.第三届食话食说杯亚军（64队） 8.第一届无限猴子杯冠军（32队） 9.第一届灵均杯冠军（32队） 10.第二届初度杯六强（48队） 11.第二届听语杯亚军（32队）（暨单场最佳辩手） 12.第一届星光闪闪冠军（36队）（暨五场最佳辩手）（暨全程最佳辩手） 13.第二届广厦杯亚军（48队） 14.第二届寄风·青丘杯亚军（32队）（暨单场最佳辩手） 15.第二届枫吟杯季军（32队） 16.第三届朝日杯季军（32队）（暨三场最佳辩手） 17.第三届月下寻鹿季军（32队） 18.第一届雾都之声杯季军（32队） 19.第一届不落樱杯亚军（32队） 20.第一届饮冰杯季军（32队） 21.第一届轩辕·风雷杯冠军（32队） 22.第一届浪花杯亚军（16队） 23.第一届鹭下秋水冠军（32队） 24.第一届鹭下秋水亚军（限制级）（32队）（暨两场最佳辩手） 25.第六届云衔杯冠军（32队） 26.第一届魔芋爽亚军（48队）（暨六场最佳辩手）（暨全程最佳辩手） 27.第二届蓝莓杯亚军（32队）（暨单场最佳辩手） 28.第二届蒹葭杯冠军（16队） 29.第二届蒹葭杯亚军（16队）（限制级） 30.第五届天合·桉楠杯冠军（16队）（暨单场最佳辩手） 31.第二届荷花杯冠军（32队） 32.第一届罐子杯冠军（32队） 33.第二届银汐杯亚军（16队） 34.第二届隽永杯冠军（16队）（限制级）（暨两场最佳辩手）（暨决赛最佳辩手） 35.第一届秋天·梅下雨停冠军（24队）（限制级）（暨三场最佳辩手） 36.第八届飞鸿踏雪亚军（32队） 37.第二届雨霁杯亚军（32队）（暨单场最佳辩手） 38.第六届清友杯亚军（24队）（暨单场最佳辩手） 39.第一届忭忻憪熹杯亚军（32队） 40.2025星辰杯solo联赛C组公开组季军（进行中） 41.2025星辰杯solo联赛C组新秀组季军（进行中） 42.第一届寻境杯冠军（32队） 43.第二届百合杯冠军（24队） 44.第一届久慕鸿才季军（24队）（暨单场最佳辩手）</t>
  </si>
  <si>
    <t>黑龙江省</t>
  </si>
  <si>
    <t>111.55.114.52</t>
  </si>
  <si>
    <t>Mozilla/5.0 (iPhone; CPU iPhone OS 18_6_2 like Mac OS X; zh-cn) AppleWebKit/601.1.46 (KHTML, like Gecko) Mobile/22G100 Quark/10.1.6.2833 Mobile</t>
  </si>
  <si>
    <t>https://wj.qq.com/s2/25118307/7bdc/?wj_lang=zhs</t>
  </si>
  <si>
    <t>银墨阁</t>
  </si>
  <si>
    <t>程律茗 领队,哈尔滨理工大学,2025,CXing828828,百合杯季军等</t>
  </si>
  <si>
    <t>李雨龙,华侨大学,2023,lyl2075516048,多</t>
  </si>
  <si>
    <t>赵蕊,山东师范大学,2023,zr251314514,多</t>
  </si>
  <si>
    <t>陈宇昂,武汉科技大学,2022,chento_be_best,多</t>
  </si>
  <si>
    <t>胡韫韬,安徽科技大学,2024,This-is-Anfield-YNWA,多</t>
  </si>
  <si>
    <t>李炫志,武汉科技大学,2023,IamLxz_,多</t>
  </si>
  <si>
    <t>任钊男,山东女子学院,2022,R19546131689,多</t>
  </si>
  <si>
    <t>韩书音,山东女子学院,2024,hsy80813609,多</t>
  </si>
  <si>
    <t>蔡子淏,兰州财经大学,2016,dh411307957,有</t>
  </si>
  <si>
    <t>袁源,山东管理学院,2024,yy1449774978,多</t>
  </si>
  <si>
    <t>张沐玮,山东女子学院,25,zmwsnlshdhb,无</t>
  </si>
  <si>
    <t>刘乾笑,赫尔大学,2022,lqx20040603,多</t>
  </si>
  <si>
    <t>IMG_4466.jpeg(链接7天有效，失效请重新同步)</t>
  </si>
  <si>
    <t>IMG_4467.jpeg(链接7天有效，失效请重新同步)</t>
  </si>
  <si>
    <t>IMG_4468.jpeg(链接7天有效，失效请重新同步)</t>
  </si>
  <si>
    <t>IMG_4469.jpeg(链接7天有效，失效请重新同步)</t>
  </si>
  <si>
    <t>随评：张原赫 西安交通大学城市学院 2018</t>
  </si>
  <si>
    <t>223.104.202.139</t>
  </si>
  <si>
    <t>Mozilla/5.0 (Linux; Android 15; ELI-AN00 Build/HONORELI-AN00; wv) AppleWebKit/537.36 (KHTML, like Gecko) Version/4.0 Chrome/142.0.7444.173 Mobile Safari/537.36 XWEB/1420087 MMWEBSDK/20250904 MMWEBID/6564 MicroMessenger/8.0.64.2940(0x28004050) WeChat/arm64</t>
  </si>
  <si>
    <t>枫起言非时 二队</t>
  </si>
  <si>
    <t>邢天昊（领队）,西安理工大学,24,xth060814</t>
  </si>
  <si>
    <t>蔡浩宇,山西工程技术学院,24,13485358963,第三届“辩才齐聚，博遍广深”英才杯辩论赛冠军，最佳辩手“以艾为辩，共创无艾未来”辩论赛亚军气候青年说辩论赛16强</t>
  </si>
  <si>
    <t>程杰航,曲阜师范大学,24,jieHang_C</t>
  </si>
  <si>
    <t>郭诗轩,郑州商学院,24,G118436051037,新生杯季军，怀瑾亚军</t>
  </si>
  <si>
    <t>刘引航,大连海洋大学,24,13841239985</t>
  </si>
  <si>
    <t>李钰卓,济南大学,24,wxid_9n7mdlyvmmd822,济南大学校内赛济大杯，温纳杯，最佳辩手</t>
  </si>
  <si>
    <t>孙雨竹,吉林农业大学,24,s012306160827</t>
  </si>
  <si>
    <t>李嫣然,天津师范大学,25级,wxid_q2sd18mvcc7522</t>
  </si>
  <si>
    <t>彭奕卓,西安理工大学,24,XiAn_CS_PYZ</t>
  </si>
  <si>
    <t>周于露,山西医科大学,24级,ZYL2102540898</t>
  </si>
  <si>
    <t>李鸿昊,哈尔滨工程大学,22研,lhh1694363349</t>
  </si>
  <si>
    <t>朱妍频（随评）,西南民族大学,22级,1269307083,&amp;#34;2024年第一届百合杯亚军（32队无限制）半决赛最佳辩手 2024年第一届听语杯冠军（32队无限制）单场最佳辩手 2025年第一届团圆杯冠军（16队无限制）决赛最佳辩手 2025年丹书白马杯季军（42队无限制）单场最佳辩手 2025年第二届鹭下秋水杯亚军（32队无限制）单场最佳辩手 2025年第一届白鹤杯亚军（32队无限制）全程最佳辩手  2023年 第一届轻语杯冠军（32队无限制） 2023年 第七届未名杯网络辩论赛亚军（32队无限制）  2023年 第六届飞鸿踏雪杯六强（48队无限制） 2023年 第一届鲨鲨杯冠军（32队无限制）  2023年   第四届桃园杯亚军（32队无限制）  2023年  第一届懒懒杯冠军（32队无限制）&amp;#34;			 2023年  第三届淮水杯六强（48队无限制） 2023年 第一届云衔杯季军（32队无限制） 2023 年 第一届金风玉露杯季军（32队无限制） 2023年 第四届清友杯亚军（32队无限制）</t>
  </si>
  <si>
    <t>Screenshot_20251215_214506_com_tencent_mobileqq_SplashActivity_edit_332655167194195.jpg(链接7天有效，失效请重新同步)</t>
  </si>
  <si>
    <t>2409:8903:a844:2056:1881:9c77:f451:9cba</t>
  </si>
  <si>
    <t>Mozilla/5.0 (Linux; Android 15; V2241A Build/AP3A.240905.015.A2; wv) AppleWebKit/537.36 (KHTML, like Gecko) Version/4.0 Chrome/142.0.7444.173 Mobile Safari/537.36 XWEB/1420087 MMWEBSDK/20250904 MMWEBID/4016 MicroMessenger/8.0.64.2940(0x28004033) WeChat/ar</t>
  </si>
  <si>
    <t>天津中医药大学天中健教社辩论队</t>
  </si>
  <si>
    <t>于富安,天津中医药大学,2023级,yfa15852991710,京津冀华语辩论赛总决赛二等奖；松果仁杯全国高校辩论赛冠军＋全程最佳辩手；中华红丝带“防艾青年说”全国辩论活动第一名＋全程最佳辩手；天津市防艾杯辩论赛一等奖；天津市保密杯辩论赛第二名＋最佳辩手；华语网辩季军＋三场佳；京津冀高校防艾辩论赛总决赛二等奖</t>
  </si>
  <si>
    <t>王瑞秋,天津中医药大学,2025级,wrq18330042352,天津市防艾杯一等奖；奈雪杯网辩四强</t>
  </si>
  <si>
    <t>苏宇,天津中医药大学,2025级,-15036833884,松果仁杯全国高校辩论赛第一名；天津市保密杯第二名</t>
  </si>
  <si>
    <t>谢忱倪 ,天津中医药大学,2025级,jiaozini666,中华红丝带“防艾青年说”辩论活动第一名</t>
  </si>
  <si>
    <t>罗钰旋 ,天津中医药大学,2024级,13602538637,星火杯网辩八强；京津冀高校华语辩论赛二等奖</t>
  </si>
  <si>
    <t>史元锋 ,天津中医药大学,2025级,silver5931,天津市防艾杯一等奖；天津市保密杯二等奖；松果仁杯全国高校辩论赛第一名</t>
  </si>
  <si>
    <t>周思呈,天津中医药大学,2025级,cc13370391198,天津市保密杯第二名；中华红丝带防艾青年说辩论活动第一名；奈雪杯二等奖</t>
  </si>
  <si>
    <t>贾滢璇 ,天津中医药大学,2024级,Cocoxuan2123,天津市保密杯二等奖；华语网辩季军</t>
  </si>
  <si>
    <t>刘禹博 ,天津中医药大学,2025级,lili20060802,京冀冀防艾高校辩论赛总决赛二等奖；奈雪杯二等奖</t>
  </si>
  <si>
    <t>蒋东平,天津中医药大学,2024级,j13526271483,天津市保密杯二等奖；松果仁杯全国高校辩论邀请赛第一名</t>
  </si>
  <si>
    <t>郭爽,天津中医药大学,2025级,g19263329965,天津市保密杯第二名；天津市防艾杯一等奖</t>
  </si>
  <si>
    <t>汪超慧,天津中医药大学,2024级,wch13358297935,京津冀华语辩论赛总决赛二等奖；松果仁中华红丝带“防艾青年说”全国辩论活动第一名；天津市防艾杯辩论赛一等奖</t>
  </si>
  <si>
    <t>Screenshot_20251216_205907.jpg(链接7天有效，失效请重新同步)</t>
  </si>
  <si>
    <t>mmexport1765889972512.jpg(链接7天有效，失效请重新同步)</t>
  </si>
  <si>
    <t>mmexport1765889977313.jpg(链接7天有效，失效请重新同步)</t>
  </si>
  <si>
    <t>mmexport1765889989083.jpg(链接7天有效，失效请重新同步)</t>
  </si>
  <si>
    <t>mmexport1765890036658.jpg(链接7天有效，失效请重新同步)</t>
  </si>
  <si>
    <t>mmexport1765890125060.jpg(链接7天有效，失效请重新同步)</t>
  </si>
  <si>
    <t>mmexport1765890178960.jpg(链接7天有效，失效请重新同步)</t>
  </si>
  <si>
    <t>mmexport1765890297505.jpg(链接7天有效，失效请重新同步)</t>
  </si>
  <si>
    <t>期待在ADA的赛场上见到优秀的辩论伙伴们🤗🤗🤗</t>
  </si>
  <si>
    <t>240e:47e:2ac8:520:1ce4:7a03:bd15:db87</t>
  </si>
  <si>
    <t>Mozilla/5.0 (iPhone; CPU iPhone OS 18_6_2 like Mac OS X) AppleWebKit/605.1.15 (KHTML, like Gecko) Mobile/15E148 MicroMessenger/8.0.66(0x1800422e) NetType/4G Language/zh_CN miniProgram/wxebadf544ddae62cb</t>
  </si>
  <si>
    <t>ada！！！</t>
  </si>
  <si>
    <t>黄维聪（领队）,广州大学,25级,Huangweicong2050,无</t>
  </si>
  <si>
    <t>夏星宇,广州大学,2016,13265361091,无</t>
  </si>
  <si>
    <t>吴旻聪,仲恺农业工程学院,2022,WMC508027274,无</t>
  </si>
  <si>
    <t>吴卓毅,广东金融学院,2022,13534480857,无</t>
  </si>
  <si>
    <t>张敬东,广东外语外贸大学,2021,13922269326,无</t>
  </si>
  <si>
    <t>张熙泰,仲恺农业工程学院,2022,18312283044,无</t>
  </si>
  <si>
    <t>叶永,广州华立学院,2022,13509650136,无</t>
  </si>
  <si>
    <t>冯泓博,广州华立学院,2024,huashengyaosile,无</t>
  </si>
  <si>
    <t>文本.txt(链接7天有效，失效请重新同步)</t>
  </si>
  <si>
    <t>安徽省</t>
  </si>
  <si>
    <t>安庆市</t>
  </si>
  <si>
    <t>240e:45b:5c88:8009::1</t>
  </si>
  <si>
    <t>Mozilla/5.0 (Linux; Android 15; PHZ110 Build/AP3A.240617.008; wv) AppleWebKit/537.36 (KHTML, like Gecko) Version/4.0 Chrome/121.0.6167.71 MQQBrowser/6.2 TBS/047921 Mobile Safari/537.36 V1_AND_SQ_9.2.35_12500_YYB_D QQ/9.2.35.32150 NetType/4G WebP/0.3.0 App</t>
  </si>
  <si>
    <t>月亮与N辩士</t>
  </si>
  <si>
    <t>高兴（随评）,郑州外国语学校,2022鸡,无</t>
  </si>
  <si>
    <t>史泽宇,郑州轻工业大学,2020研,无</t>
  </si>
  <si>
    <t>李润田,兰州工业学院,2023级,无</t>
  </si>
  <si>
    <t>苏长春,郑州轻工业大学,2016,无</t>
  </si>
  <si>
    <t>朱舜卿,苏州星海实验初中,2025级,无</t>
  </si>
  <si>
    <t>王汪扬,扬州大学附属中学,2023级,无</t>
  </si>
  <si>
    <t>姚培雯,郑州财经学院,2024级,无</t>
  </si>
  <si>
    <t>周海龙,浙江科技大学,2023级,无</t>
  </si>
  <si>
    <t>李苡然,浙江外国语学院,2024级,无</t>
  </si>
  <si>
    <t>王欣冉,郑州轻工业大学,2023级,无</t>
  </si>
  <si>
    <t>秦宇菲,内蒙古医科大学,2024级,无</t>
  </si>
  <si>
    <t>张彦泽,青岛大学,2022级,无</t>
  </si>
  <si>
    <t>赵理想,安庆师范大学,2025研,18963726762</t>
  </si>
  <si>
    <t>内蒙古自治区</t>
  </si>
  <si>
    <t>呼和浩特市</t>
  </si>
  <si>
    <t>2408:842c:d00:a726:803e:c4be:60a1:66b0</t>
  </si>
  <si>
    <t>Mozilla/5.0 (Windows NT 10.0; Win64; x64) AppleWebKit/537.36 (KHTML, like Gecko) Chrome/132.0.0.0 Safari/537.36 NetType/WIFI MicroMessenger/7.0.20.1781(0x6700143B) WindowsWechat(0x63090a13) UnifiedPCWindowsWechat(0xf2541022) XWEB/16467 Flue</t>
  </si>
  <si>
    <t>温良恭谨</t>
  </si>
  <si>
    <t>胡雅璇,内蒙古师范大学,2024级,WX13171308985</t>
  </si>
  <si>
    <t>崔恒,中国农业大学,2024,Cuiheng997966</t>
  </si>
  <si>
    <t>张蕊嘉,内蒙古师范大学,2024级,zrj166176161</t>
  </si>
  <si>
    <t>薛皓钟,燕山大学,2020级,18946780157</t>
  </si>
  <si>
    <t>张文渊,杭州师范大学,2025级,zaxwqy</t>
  </si>
  <si>
    <t>杨惠雅,南通大学,2024,yhy18719295695</t>
  </si>
  <si>
    <t>傅墨涵,中国人民大学,2024级,Kweismine</t>
  </si>
  <si>
    <t>程亦麟,北师香港浸会大学,2022级,Chengyilin654321</t>
  </si>
  <si>
    <t>石翰东,暨华中学,2027</t>
  </si>
  <si>
    <t>李家旭,青岛大学,2024级,18661638595</t>
  </si>
  <si>
    <t>郑宇淇,福建理工大学,2025级,zuiii121208</t>
  </si>
  <si>
    <t>陈浩智,上海电机学院,2024,18930263347</t>
  </si>
  <si>
    <t>温良恭谨随评王楷添.docx(链接7天有效，失效请重新同步)</t>
  </si>
  <si>
    <t>119.78.253.19</t>
  </si>
  <si>
    <t>Mozilla/5.0 (X11; Linux x86_64) AppleWebKit/537.36 (KHTML, like Gecko) Chrome/143.0.0.0 Safari/537.36 Edg/143.0.0.0</t>
  </si>
  <si>
    <t>枫起言非时-凛冬晓意</t>
  </si>
  <si>
    <t>陈笑宇（领队）,北京交通大学,2022,18261246812</t>
  </si>
  <si>
    <t>何佳翰,上海电机学院,2025,cat190810</t>
  </si>
  <si>
    <t>苏德君,哈尔滨师范大学,2024 ,Ss04040501</t>
  </si>
  <si>
    <t>罗熙,暨南大学,2025研 ,18673673651</t>
  </si>
  <si>
    <t>李卓烜,兰州交通大学,2024,lzx727262683</t>
  </si>
  <si>
    <t>温淳任,广州商学院,2022,yzsk7777777</t>
  </si>
  <si>
    <t>李畅,上海电机学院,2023,lc1539911290</t>
  </si>
  <si>
    <t>姜宇阳,湖南科技大学,2024,st15904965666</t>
  </si>
  <si>
    <t>周博志,黑龙江科技大学,2023,z05092700z</t>
  </si>
  <si>
    <t>顾凯,武汉大学 ,2024,hn15236970091</t>
  </si>
  <si>
    <t>陆镛,东华大学,2025研,15201726618</t>
  </si>
  <si>
    <t>周禹诺,黑龙江科技大学,2023,Fi_1511RE</t>
  </si>
  <si>
    <t>周书成-西南民族大学-评委履历.zip(链接7天有效，失效请重新同步)</t>
  </si>
  <si>
    <t>随评不参赛</t>
  </si>
  <si>
    <t>112.53.154.9</t>
  </si>
  <si>
    <t>Mozilla/5.0 (Macintosh; Intel Mac OS X 10_15_7) AppleWebKit/605.1.15 (KHTML, like Gecko) Version/26.1 Safari/605.1.15</t>
  </si>
  <si>
    <t>看看我们的羁绊</t>
  </si>
  <si>
    <t>张正明（领队）,东南大学,2025级,Guiying_A666,无</t>
  </si>
  <si>
    <t>王天予,东南大学,2023级,1.2025华语辩论世界杯南京赛区暨第十六届南京市赛季军两场最佳辩手 2.第一届秦淮杯亚军（32队线下） 3.第二届岁聿云暮邀请赛季军（32队线下） 4.第一届鹦鹉杯亚军单场最佳辩手（32队） 5.第一届糖糖杯季军单场最佳辩手（32队） 6.第八届飞鸿踏雪网络辩论赛季军（32队）</t>
  </si>
  <si>
    <t>汪怡清,苏州大学,2023级,2025苏言杯高校辩论联赛（暨华语辩论世界杯苏州地区合作赛事）冠军（线下赛12队）&amp;amp;amp;全程最佳辩手 2024苏言杯高校辩论联赛冠军（线下12队）（带佳） 第一届岁暮流盼无尽夏冠军（网辩32队）（带佳） 第三届东隅杯网络辩论赛季军（网辩32队）（带佳） 2025 ADA线上辩论全国赛季军（网辩 100队）（带佳） 第一届枕石漱流杯冠军（网辩32队）</t>
  </si>
  <si>
    <t>陈厚德,同济大学,2023级,第一届魔芋爽杯亚军，含佳辩 第三年华杯亚军 第一届怀瑜杯冠军全程最佳 2025金陵杯亚军 第四届怀瑾杯冠军，含佳辩 天合杯5.0solo晨曦赛段，冠军 第三届蛋糕杯冠军含佳辩</t>
  </si>
  <si>
    <t>秦铭泽,巴斯大学,2024级,第一届蒹葭杯（32队无限制） 亚军 全程最佳辩手（四场） 2023华语辩论世界杯青岛赛区冠军 单场最佳辩手 2023年第三届国际⻘年可持续发展创辩夏季大会公开组（48队无限制）冠军 第十八届人大纵横杯二人制辩论赛（32队无限制）冠军 第一届一轮游杯（32队无限制）亚军 单场最佳辩手 第二届空想杯·星辰系列辩论赛（24队无限制）亚军 决赛最佳辩手</t>
  </si>
  <si>
    <t>张家轩,南京林业大学,2023级,第四届江苏省高校辩论公开赛季军暨全程最佳辩手 第二届“苏才杯”人才服务主题辩论赛南京赛区冠军，总决赛季军 第五届N6南京高校辩论联赛冠军第一届彭城论道·华语辩论高校邀请赛亚军 第十六届南京市高校辩论赛冠军暨全程最佳辩手</t>
  </si>
  <si>
    <t>刘心泓（随评）,河海大学,2023级,天津市第五十四中学践真辩论队教练 南京师范大学中北学院辩论队副教练 第三届独上杯华语辩论公开赛亚军（32） 第一届柿子杯冠军（32）单场佳辩 第二届铁锅炖大鹅杯殿军（32） 第一届一期一会杯殿军（48）单场佳辩 第一届星光闪闪网络辩论赛殿军（48）单场佳辩 第一届魔芋爽杯网络辩论赛殿军（48）单场佳辩 第一届“苏韵杯”江苏省高校辩论邀请赛季军（24）单场佳辩 第七届北美华语国际辩论赛江浙沪赛区八强（64） 第一届雨霁杯网络辩论赛亚军（32）单场佳辩 第十五届南京市赛季军（24） 2024华语辩论世界杯南京赛区季军（24） 第一届雪花杯冠军（64） 2025第五届云衔杯网络辩论赛殿军（56） 第一届知北游高校辩论邀请赛十佳队伍（96）单场佳辩 江苏卫视ai荔枝辩论赛亚军（12） 第二届广厦杯殿军 单场佳辩 第三届珠玉杯季军（24） 第二届荷花杯季军（32） 第一届庐州杯殿军 第一届食安杯冠军（16） 全程最佳辩手 第十六届南京市赛季军（28）</t>
  </si>
  <si>
    <t>白雯博,西安交通大学城市学院,2023级,1.2025年第一届木棉杯亚军16）全程最佳辩手 2.2024年第三届南湘杯季军（32队）单场佳辩 3.2024年第一届六爻杯季军（32队）单场佳辩 4.2024年第一届天合霞光solo季军（32队） 5.2025年第一届浪花杯冠军（16队）单场佳辩 6.2025年第二届陕西省华语辩论公开赛季军（24队）单场佳辩</t>
  </si>
  <si>
    <t>宣稼诺,浙江工商大学,2023级,1，2024年第一届“辩论星球杯”网络辩论赛 全程最佳辩手（16队非限） 2，2025年第一届鹭下秋水杯网络辩论赛亚军（32队非限） 3，2025年第一届执言杯网络辩论赛 冠军（16队非限）  4，2025年未来知声世界青年思辨大赛（青年组） 季军（54队非限，线上+线下国际赛） 5，2025年第二届燕雲杯·世界高校华语辩论邀请赛 至少6强已晋级+单场佳辩（36队，线上+线下高校赛，线上赛段已结束） 6，2025年第一届萌替杯网络辩论赛 亚军+决赛单场佳辩（16队非限） 7，2025年和山联赛 亚军（8队线下地区赛）</t>
  </si>
  <si>
    <t>舒翰驰,北京印刷学院,2023级,1.2025凌寒杯·秋季赛冠军（1/24  无限 solo） 2.2025星辰杯世界大学生辩论巡回赛·科幻与未来科技发展主题赛区冠军（1/48  无限 单场佳） 3.第一届贞子杯冠军（1/16  无限 单场佳） 4.第一届雾凇杯日升月恒赛道亚军（2/16  无限 单场佳） 5.第三届年华杯亚军（2/16  无限 单场佳） 6.第八届天合·个人挑战赛季军（4/32无限solo）</t>
  </si>
  <si>
    <t>马天宇,上海海洋大学,2023级,1.第一届南风杯网络辩论赛亚军（32队无限制）暨全程次佳辩手  2.第一届怀瑜杯网络辩论赛亚军（16队限制23）暨全程次佳  3.第二届鹭鸶杯网络辩论赛冠军（16队限制23）暨全程最佳辩手  4.第一届风树杯网络辩论赛冠军（8队限制23）暨全程最佳辩手  5.第一届景行杯网络辩论赛冠军（32队限制23）暨全程最佳辩手  6.第二届可可杯网络辩论赛（非限制级）全程最佳辩手</t>
  </si>
  <si>
    <t>康浩然,中国海洋大学,2024级,2025国际华语辩论邀请赛·资格赛 中国大陆二十四强 2025夏季solo槐序杯个人挑战赛 冠军(1/32无限制，暨全程最佳辩手) 2025第一届隽永杯网络辩论赛 冠军兼最佳辩手(1/32无限制) 2025第四届逍遥杯网络辩论赛 冠军兼最佳辩手(1/24无限制) 2025第一届廛铎杯历史主题辩论赛暨2025星辰杯世界大学生辩论巡回赛•廛铎历史主题赛区 冠军兼最佳辩手（1/16无限制） 2025浙大宁院第九届瑞琪杯辩论赛 冠军暨全程最佳辩手（1/24限制级）</t>
  </si>
  <si>
    <t>Weixin Image_20251218173056_36_1955.jpg(链接7天有效，失效请重新同步)</t>
  </si>
  <si>
    <t>Weixin Image_20251218173057_37_1955.jpg(链接7天有效，失效请重新同步)</t>
  </si>
  <si>
    <t>Weixin Image_20251218173058_38_1955.jpg(链接7天有效，失效请重新同步)</t>
  </si>
  <si>
    <t>Weixin Image_20251218173059_39_1955.jpg(链接7天有效，失效请重新同步)</t>
  </si>
  <si>
    <t>这是第二次提交，第一次随评信息不全，非常抱歉！</t>
  </si>
  <si>
    <t>240a:42c0:1400:4e3:3011:3aff:fe05:cb49</t>
  </si>
  <si>
    <t>Mozilla/5.0 (Windows NT 10.0; Win64; x64) AppleWebKit/537.36 (KHTML, like Gecko) Chrome/97.0.4692.98 Safari/537.36 T7/13.38 languageType/0 bdh_dvt/0 bdh_de/1 bdh_ds/1 bdhonorbrowser/9.6.0.4 (P1 15)</t>
  </si>
  <si>
    <t>麻辣兔头</t>
  </si>
  <si>
    <t>邹文逸（领队）,湖北工业大学,23,tu18071709391</t>
  </si>
  <si>
    <t>陈睿杰,湖北工业大学,24,C03162024280410</t>
  </si>
  <si>
    <t>吴宁远,湖北工业大学,23,w18696107816</t>
  </si>
  <si>
    <t>林思璇,香港中文大学,24,antheakkaa</t>
  </si>
  <si>
    <t>程家麟（随评）,湖北工业大学,23,r1927891010</t>
  </si>
  <si>
    <t>陈煌,西南科技大学,22,Qq1354227154</t>
  </si>
  <si>
    <t>汪玮琪,湖北工业大学,23,YKXN2005</t>
  </si>
  <si>
    <t>陈文蕊,湖北工业大学,22,LCCPX0922</t>
  </si>
  <si>
    <t>张浩楠,湖北工业大学,21,zt13832010798</t>
  </si>
  <si>
    <t>钟佳怡,上海科技大学,24研,Zzzjinyuya</t>
  </si>
  <si>
    <t>冯鹏翊 ,上海科技大学,23研,young_young_F</t>
  </si>
  <si>
    <t>朱子康,东莞城市学院,21级,tonyzhuzk</t>
  </si>
  <si>
    <t>Screenshot_20251220_160050_com_tencent_mm_LauncherUI.jpg(链接7天有效，失效请重新同步)</t>
  </si>
  <si>
    <t>晋中市</t>
  </si>
  <si>
    <t>240e:426:9c86:2448:e450:a8ff:fe55:c2bf</t>
  </si>
  <si>
    <t>Mozilla/5.0 (Linux; Android 15; ELP-AN00 Build/HONORELP-AN00; wv) AppleWebKit/537.36 (KHTML, like Gecko) Version/4.0 Chrome/142.0.7444.173 Mobile Safari/537.36 XWEB/1420113 MMWEBSDK/20251006 MMWEBID/3418 MicroMessenger/8.0.66.2980(0x2800423B) WeChat/arm64</t>
  </si>
  <si>
    <t>天外有天辩论队</t>
  </si>
  <si>
    <t>李鸣源（领队）,太原理工大学,2024级,13546504680,无</t>
  </si>
  <si>
    <t>吴孟轩,太原理工大学,2023级,OMO13872220313,无</t>
  </si>
  <si>
    <t>高雅婷,太原理工大学,2024级,A15513756205,无</t>
  </si>
  <si>
    <t>钟佳盈,太原理工大学,2024级,ZHONG-jy_,无</t>
  </si>
  <si>
    <t>安慧绮,太原理工大学,2024级,an295775056,无</t>
  </si>
  <si>
    <t>张士航,太原理工大学,2023级,zsh15893558526,无</t>
  </si>
  <si>
    <t>陈君泽,太原理工大学,2023级,cjz18735181229,无</t>
  </si>
  <si>
    <t>朱妍频（随评）,西南民族大学,2022级,&amp;#34;2024年第一届百合杯亚军（32队无限制）半决赛最佳辩手 2024年第一届听语杯冠军（32队无限制）单场最佳辩手 2025年第一届团圆杯冠军（16队无限制）决赛最佳辩手 2025年丹书白马杯季军（42队无限制）单场最佳辩手 2025年第二届鹭下秋水杯亚军（32队无限制）单场最佳辩手 2025年第一届白鹤杯亚军（32队无限制）全程最佳辩手  2023年 第一届轻语杯冠军（32队无限制） 2023年 第七届未名杯网络辩论赛亚军（32队无限制）  2023年 第六届飞鸿踏雪杯六强（48队无限制） 2023年 第一届鲨鲨杯冠军（32队无限制）  2023年   第四届桃园杯亚军（32队无限制）  2023年  第一届懒懒杯冠军（32队无限制）&amp;#34;    2023年  第三届淮水杯六强（48队无限制） 2023年 第一届云衔杯季军（32队无限制） 2023 年 第一届金风玉露杯季军（32队无限制） 2023年 第四届清友杯亚军（32队无限制）</t>
  </si>
  <si>
    <t>36.152.115.249</t>
  </si>
  <si>
    <t>https://graph.qq.com/</t>
  </si>
  <si>
    <t>类人生物研究所</t>
  </si>
  <si>
    <t>崔云龙（领队）,南京邮电大学,2024,aoyeshuijiao</t>
  </si>
  <si>
    <t>刘城铭（随评）,重庆人文科技学院,2023,15223974390</t>
  </si>
  <si>
    <t>付广辉,南京中医药大学,2023,ndet241205</t>
  </si>
  <si>
    <t>黄思远,南京中医药大学,2024,13584851145</t>
  </si>
  <si>
    <t>盖玉涛,南京财经大学红山学院,2023,knight1557</t>
  </si>
  <si>
    <t>张浩驰 ,长春财经学院,2023,asd1209083398</t>
  </si>
  <si>
    <t>缪绅光,河海大学,2024博,qq764536752</t>
  </si>
  <si>
    <t>苏家乐,河海大学,2024,windblows715</t>
  </si>
  <si>
    <t>吴舟,江西财经大学,2025研,wzyxy627-5</t>
  </si>
  <si>
    <t>蒋涛,中国计量大学,2022,k18352972880</t>
  </si>
  <si>
    <t>申海明,辽宁师范大学,2018,Shm13390126972</t>
  </si>
  <si>
    <t>张轶霖,广州航海学院,2020,YaaP10Z</t>
  </si>
  <si>
    <t>湖南省</t>
  </si>
  <si>
    <t>长沙市</t>
  </si>
  <si>
    <t>120.226.117.130</t>
  </si>
  <si>
    <t>Mozilla/5.0 (Linux; Android 16; PJZ110 Build/BP2A.250605.015; wv) AppleWebKit/537.36 (KHTML, like Gecko) Version/4.0 Chrome/142.0.7444.173 Mobile Safari/537.36 XWEB/1420113 MMWEBSDK/20251006 MMWEBID/6572 MicroMessenger/8.0.66.2980(0x2800423B) WeChat/arm64</t>
  </si>
  <si>
    <t>cxy受害者联盟</t>
  </si>
  <si>
    <t>童煦尧（领队）,西安财经大学行知学院,2021,Toxy_2329299</t>
  </si>
  <si>
    <t>何欣叶,杭州电子科技大学,2024研,HWdreamer0208</t>
  </si>
  <si>
    <t>茹毅（随评）,湘南学院,2024,ruyi1346798523,履历 高中： 23年国际青年可持续发展创辩大会季军（高中组） 本科： 限制级： 理想杯（限制级） 冠军 鸣晓杯甘霖赛道亚军（全程最佳辩手） 非限制： 第二届云游国际高校巡回辩论赛36强（288队）（初赛/复赛佳辩） 江苏辩论超级联赛 （13队）冠军 第三届湖南省高校大学生联赛季军（初赛/半决赛佳辩） 苏堤春晓亚军（复赛最佳辩手） 知北游高校邀请赛16强（96队）（单场最佳辩手） 25年国际青年可持续发展创辩大会（华中赛区） 季军 （初赛/复赛 最佳辩手） 2025星辰杯世界大学生辩论巡回赛•寄风青丘古风主题赛区 冠军</t>
  </si>
  <si>
    <t>李俊杰,湘南学院,2023,LiJunjei29</t>
  </si>
  <si>
    <t>曹新悦,湘南学院,2023,CXY2899FOXxia</t>
  </si>
  <si>
    <t>张鸿浴,辽宁科技大学,2023,z16642234158</t>
  </si>
  <si>
    <t>杜雨晴,西安财经大学行知学院,2023,D320615721</t>
  </si>
  <si>
    <t>辽宁省</t>
  </si>
  <si>
    <t>沈阳市</t>
  </si>
  <si>
    <t>123.186.180.53</t>
  </si>
  <si>
    <t>蓝莓蛋糕</t>
  </si>
  <si>
    <t>邓千明（领队）,哈尔滨商业大学,2024,18277334674</t>
  </si>
  <si>
    <t>周盼盼,天津外国语大学滨海外事学院,2023,17745014259</t>
  </si>
  <si>
    <t>颜骊霏,武汉工程科技学院,2024,kywl852456</t>
  </si>
  <si>
    <t>曾心怡,深圳职业技术大学,2023,MoZ0710</t>
  </si>
  <si>
    <t>李冠林 ,北京化工大学,2023,lzzz13130667078</t>
  </si>
  <si>
    <t>王增硕,武汉工程科技学院,2023</t>
  </si>
  <si>
    <t>赵姝雅,商丘工学院,2023</t>
  </si>
  <si>
    <t>董嘉哲,燕京理工学院,2025</t>
  </si>
  <si>
    <t>柳俊哲,吉林外国语大学,2023</t>
  </si>
  <si>
    <t>江语墨,四川外国语大学,2023</t>
  </si>
  <si>
    <t>刘一然,北京工商大学,2023</t>
  </si>
  <si>
    <t>伊岩,大连理工大学,2023</t>
  </si>
  <si>
    <t>yyl 随评履历证明.docx(链接7天有效，失效请重新同步)</t>
  </si>
  <si>
    <t>山东省</t>
  </si>
  <si>
    <t>济南市</t>
  </si>
  <si>
    <t>39.144.109.156</t>
  </si>
  <si>
    <t>Mozilla/5.0 (Windows NT 10.0; Win64; x64) AppleWebKit/537.36 (KHTML, like Gecko) Chrome/143.0.0.0 Safari/537.36</t>
  </si>
  <si>
    <t>拼夕夕辩论天团</t>
  </si>
  <si>
    <t>彭婕妤（领队）,枣庄学院,大二,wxid_9r0giz4j5mkg22</t>
  </si>
  <si>
    <t>曹千蕙,悉尼大学</t>
  </si>
  <si>
    <t>江望宸,内蒙古财经大学</t>
  </si>
  <si>
    <t>金伊郎,香港理工大学</t>
  </si>
  <si>
    <t>闻家乐,西北农林科技大学</t>
  </si>
  <si>
    <t>谢灿瑜,福建师范大学</t>
  </si>
  <si>
    <t>李其洋,四川希望汽车职业学院</t>
  </si>
  <si>
    <t>浙江省</t>
  </si>
  <si>
    <t>2409:8728:b4ff:2016:10:103:0:c599</t>
  </si>
  <si>
    <t>Mozilla/5.0 (Windows NT 10.0; Win64; x64) AppleWebKit/537.36 (KHTML, like Gecko) Chrome/132.0.0.0 Safari/537.36 NetType/WIFI MicroMessenger/7.0.20.1781(0x6700143B) WindowsWechat(0x63090a13) UnifiedPCWindowsWechat(0xf254101e) XWEB/16389 Flue</t>
  </si>
  <si>
    <t>杭州师范大学辩论队</t>
  </si>
  <si>
    <t>陈嘉艺（领队）,杭州师范大学,2024,LoveStruck-9,2025钱江辩论联赛（原华语辩论世界杯杭州赛区）冠军 2025第一届听见运河·问舟杯世界高校华语辩论联赛八强 2024在杭高校人道法辩论赛冠军（6队） 2025第一届罐子杯辩论赛四强（32队） 2025第三届蛋糕杯辩论赛冠军（32队） 2025第一届可可杯辩论赛冠军（16队） 2025第一届微烛杯辩论赛冠军（16队）</t>
  </si>
  <si>
    <t>杨潘俊,杭州师范大学,2024,yangpanjun623,2024在杭高校人道法辩论赛冠军 第一届罐子杯亚军 2025新国辩资格赛线下赛段上赛队员 第一届赓续杯亚军 2025钱江辩论联赛冠军 第一届令行青训亚军暨全程优秀辩手 第一届扶光杯冠军 第二十五届锋芒杯亚军 第一届琨玉秋霜杯冠军 第一届白日做梦杯冠军</t>
  </si>
  <si>
    <t>杨颂恒（随评）,杭州师范大学,2024,ysh2196201922,2025钱江辩论联赛冠军（杭州黄联） 第三届国际华语辩论个人公开赛·c级联赛·南方赛区（68人）季军 第六届云衔杯网络辩论赛（32队）季军暨单场最佳辩手 第六届锋芒团体邀请赛（24队）亚军暨单场最佳辩手 2024在杭高校人道法辩论线下赛冠军 第一届梅下雨停杯（32队）冠军 第一届团圆杯16队亚军 第二届鸿鹄杯（32队）亚军 第一届忭忻憪熹网络辩论赛（32队）季军 第一届寻鹤·师徒杯三强（在打） 第三届南柯杯网络辩论赛24队冠军暨全程最佳辩手 第二届春闱杯个人solo赛24人冠军 第七届原上春柳杯48队冠军暨单场最佳辩手 第一届蒜鸟杯（22限）32队季军 第一届铁锅炖大鹅32队季军 第一届令行青训24队亚军 第五届鱼塘杯32队冠军暨单场最佳辩手 第五届杭师大树人杯辩论赛季军暨单场最佳辩手 第一节时光札记杯个人solo赛16人亚军 第一节不落樱杯网络辩论赛32队冠军 第五届白马杯辩论赛季军暨单场最佳辩手 第六届锋芒杯网络辩论赛32队四强（在打）暨单场最佳辩手</t>
  </si>
  <si>
    <t>陈芸涵,杭州师范大学,2024,ochac0218	,2025第一届扶光杯冠军 2025令行青训亚军 第二届铁锅炖大鹅网络辩论赛季军</t>
  </si>
  <si>
    <t>黄琦,杭州师范大学,2023,hq17815539238love	</t>
  </si>
  <si>
    <t>李雨桐,杭州师范大学,2024,lyt80682	,2025第一届扶光杯冠军 2025令行青训亚军 第二届铁锅炖大鹅网络辩论赛季军</t>
  </si>
  <si>
    <t>张瑞元,杭州师范大学,2024,Zheung-30th	,2025钱江辩论联赛冠军 第一届扶光杯冠军暨单场最佳辩手 第一届令行青训季军 第二届铁锅炖大鹅杯季军 第五届鱼塘杯32队冠军</t>
  </si>
  <si>
    <t>梁璇,杭州师范大学,2024,zhuy107	</t>
  </si>
  <si>
    <t>倪洛沂,杭州师范大学,2024,qq1840203294	</t>
  </si>
  <si>
    <t>何栋怡,杭州师范大学,2025,hdy15267568953	,2023全国中小学生华语辩论锦标赛八强			</t>
  </si>
  <si>
    <t>侯啸宇,杭州师范大学,2025,sakuraqwzzz	</t>
  </si>
  <si>
    <t>丁俊晖,杭州师范大学,2025,D15065612666</t>
  </si>
  <si>
    <t>北京市</t>
  </si>
  <si>
    <t>124.126.98.25</t>
  </si>
  <si>
    <t>南口有风</t>
  </si>
  <si>
    <t>王梓畅（领队）,北京化工大学,2023级,15352662983,无</t>
  </si>
  <si>
    <t>王嘉欣（随评）,上海第二工业大学,2020级,W-firebandit,2023可持续发展青年创辩大会（成都）冠军（8队，无限制） 第九届上海市财经杯辩论邀请赛冠军兼最佳辩手一次（14队，无限制） 2023年华语辩论赛联赛杯上海地区冠军兼最佳辩手两次（20队，无限制） 第一届秦淮杯高校辩论邀请赛冠军（32队，无限制） 贩卖月光3.0网络辩论赛冠军（32队，无限制） 第一届友谊魔法杯网络辩论赛冠军（32队，无限制） 第一届赓续杯网络辩论赛冠军（32队，无限制） 第一届沪雲杯高校辩论邀请赛亚军兼最佳辩手一次（19队，无限制） 第二届凌苍杯辩论赛亚军（28队，无限制） 第一届寻境杯网络辩论赛亚军兼最佳辩手两次（32队，无限制） 第十届濠梁杯网络辩论赛亚军（32队，无限制） 第一届寒木春华网络辩论赛亚军（48队，无限制） 第三届衔华杯网络辩论赛季军兼全程最佳辩手（32队，无限制） 第二届挚友杯网络辩论赛季军兼最佳辩手四次（64队，无限制） 2025云游·国际华语辩论邀请赛(精英赛)季军兼最佳辩手一次（24队双循环，无限制） 2024星辰杯全国大学生辩论巡回赛·资格赛季军（25队，无限制） 第一届“兰桡·鸿雅杯”网络辩论邀请赛季军（32队，无限制） 第五届百辩101网络辩论赛季军（32队，无限制） 第一届鹭下秋水网络辩论赛季军（32队，无限制） 第二届隽永杯华语辩论秋季赛（32队，无限制） 第二届淮水杯网络辩论赛季军兼最佳辩手两次（48队，无限制） 第七届方头杯网络辩论赛季军（64队，无限制） 第二届星辰杯系列赛事主赛科技科普科幻主题2024年冬春季辩论赛六强（48队，无限制） 第五届云衔杯网络辩论赛七强兼最佳辩手一次（56队，无限制） 第一届时初杯网络辩论邀请赛六强兼最佳辩手一次（64队，无限制） 第三届食话食说杯·食品主题网络辩论赛八强兼最佳辩手一次（64队，无限制）</t>
  </si>
  <si>
    <t>刘佳琪,北京化工大学,2024级,Ljq15645201222,无</t>
  </si>
  <si>
    <t>张芷淇,北京化工大学,2023级,Q_18900281715,无</t>
  </si>
  <si>
    <t>李乐融,北京化工大学,2024级,andfar_wonhui,无</t>
  </si>
  <si>
    <t>侯林汐,北京化工大学,2024级,18631466032,无</t>
  </si>
  <si>
    <t>方晨恺,北京化工大学,2024级,f18399854722,无</t>
  </si>
  <si>
    <t>陈艺玮,北京化工大学,2025级,cyw13649819436,无</t>
  </si>
  <si>
    <t>卫蕊霞 ,北京化工大学 ,2025级,wrx17836591107,无</t>
  </si>
  <si>
    <t>黄海璐,北京化工大学,2025级,wxid_gn85w0qckcpw22,无</t>
  </si>
  <si>
    <t>刘凡 ,北京化工大学,2023级,leaf-lf,无</t>
  </si>
  <si>
    <t>郑依诚,北京化工大学,2025级,wxid_hnzt29qj82il22,北京化工大学“博言杯”新生赛季军、北京化工大学“129”季军、福建泉州洛江外国语学校辩论赛冠军</t>
  </si>
  <si>
    <t>履历证明2.0.docx(链接7天有效，失效请重新同步)</t>
  </si>
  <si>
    <t>无</t>
  </si>
  <si>
    <t>180.160.102.44</t>
  </si>
  <si>
    <t>Mozilla/5.0 (Windows NT 10.0; Win64; x64) AppleWebKit/537.36 (KHTML, like Gecko) Chrome/132.0.0.0 Safari/537.36 NetType/WIFI MicroMessenger/7.0.20.1781(0x6700143B) WindowsWechat(0x63090a13) UnifiedPCWindowsWechat(0xf2541518) XWEB/17127 Flue</t>
  </si>
  <si>
    <t>上海第二工业大学</t>
  </si>
  <si>
    <t>黄天逸 ,上海第二工业大学 ,2024级 ,17510420656,1.第十一届“超新星online”亚军 2.第一届“申云杯”季军&amp;#34; 3.第十五届上海红十字会人道杯八强</t>
  </si>
  <si>
    <t>王津也,上海第二工业大学,2023级,deci_242418,1.第二届容止杯季军（32队无限制） 2.第一届沪云杯上海高校辩论赛亚军（16队无限制） 3.第一届申云杯季军（18队无限制实体赛双循环） 4.第十五届上海红十字会人道杯八强（56队无限制实体赛） 5.第一届秦淮杯冠军（32队无限制实体赛） 6.云游精英赛季军（24队无限制双循环）</t>
  </si>
  <si>
    <t>吴玟,上海第二工业大学,2022级,19121075215</t>
  </si>
  <si>
    <t>李好,上海第二工业大学,2022级,15800889094,2024年第一届六一杯网络辩论赛冠军（16队） 2023年第一届12138杯网络辩论赛季军（32队） 2024年第三届风启杯网络辩论赛冠军（64队） 2025年第一届秦淮杯高校邀请赛冠军（32队线下） 2025年第四届风启杯网络辩论赛亚军（16队） 第一届沪雲杯·上海高校华语辩论赛亚军（24队）</t>
  </si>
  <si>
    <t>高启昊,上海第二工业大学,2023级,gqh050407,第一届秦淮杯冠军 第一届沪雲杯亚军 第一届初度杯网络辩论赛冠军 第十五届上海市大学生国际人道问题辩论赛八强</t>
  </si>
  <si>
    <t>谢宽畅,上海第二工业大学,2024级,xkc2737690285,1.第一届“秦淮杯”冠军 2.第一届网辩“初度杯”冠军 3.第十一届“超新星online”亚军 4.上海地区赛第一届“沪雲杯”亚军 5.第一届申云杯季军 6.上海地区赛第十五届“人道杯”八强”</t>
  </si>
  <si>
    <t>闭采琦（随评）,上海第二工业大学,2023级,BCQBSBBQ,1.第二届容止杯季军（32队无限制） 2.第一届可可杯亚军（16队无限制） 3.第一届沪云杯上海高校辩论赛亚军暨单场佳辩（16队无限制） 4.第一届申云杯季军暨单场佳辩（18队无限制实体赛双循环） 5.第十五届上海红十字会人道杯八强暨单场佳辩（56队无限制实体赛） 6.第一届秦淮杯冠军（32队无限制实体赛） 7.云游精英赛季军暨单场佳辩（24队无限制双循环） 8.第十届濠梁杯亚军（32队无限制） 9.第六届锋芒杯亚军（32队无限制）</t>
  </si>
  <si>
    <t>段琪妍,西交利物浦大学,2025研,DAYTOY_YiBo85,2023华语辩论世界杯上海赛区联赛杯冠军暨决赛最佳辩手 2025华语辩论世界杯上海赛区季军暨最佳辩手 云游·国际华语辩论邀请赛（精英赛）季军暨两场最佳辩手 2025华语辩论世界杯苏州赛区亚军 上海市第九届财经杯邀请赛冠军 星辰杯·华语辩论高校邀请赛冠军</t>
  </si>
  <si>
    <t>许琦泓,上海商学院,2021级,xqh021211,2022年 上海辩论最佳新人 第一届华语辩论小友赛季军（30队无限制实体赛） 第一届秦淮杯高校辩论邀请赛冠军（32队无限制实体赛） 2025星辰杯华语辩论大学生巡回辩论赛彭城论道冠军暨单场最佳辩手（16队无限制实体赛） 第六届清友杯冠军暨全程最佳辩手（24队无限制） 第一届科一杯亚军暨全程最佳辩手（32队无限制） 第二届铁锅炖大鹅杯亚军暨全程最佳辩手（32队无限制） 第一届梧桐杯亚军暨全程最佳辩手（32队无限制） 第二届樱花杯冠军暨全程最佳辩手（32队无限制） 第一届yy杯亚军暨全程最佳辩手（16队无限制）</t>
  </si>
  <si>
    <t>陆毅（领队）,上海第二工业大学 ,2023级,17269534181,1. 第一届申云杯季军（18队无限制实体赛双循环） 2. 第一届秦淮杯高校辩论邀请赛冠军（32队实体赛） 3. 第十五届上海红十字会人道杯八强（56队无限制实体赛） 4. 第一届沪雲杯上海高校辩论赛亚军（16队无限制） 5. 第二届隽永杯网络辩论赛亚军（32队无限制） 6. 第一届岁暮流盼·无尽夏日网络辩论赛季军（32队无限制） 7. 第二届逍遥杯网络辩论赛亚军（16队无限制） 8. 第三届食话食说杯·食品主题网络辩论赛四强（64队无限制） 9. 2025年华语辩论群岛文化邀请赛八强（64队无限制） 10. 第二届银汐杯网络辩论赛亚军（32队无限制） 11. 第十届濠梁杯亚军（32队无限制） 12. 第一届“初度杯”冠军（54队限制级） 13. 第一届忭忻熹杯季军（32队无限制）</t>
  </si>
  <si>
    <t>刘偌伊,天津财经大学珠江学院,2023级,wink11_2018,第三届食话食说杯·食品主题网络辩论赛四强（64队无限制）</t>
  </si>
  <si>
    <t>安子欣,西南大学,2020年,wxid_tjuhun5i01zt22,2023年新国辩·资格赛冠军&amp;amp;全程最佳辩手   第二届新南杯暨第一届世界华语辩论冠军邀请赛亚军  2022年华语辩论世界杯重庆赛区冠军&amp;amp;五场最佳辩手  第四十二届川渝地区校园之春辩论赛重庆赛区本科组亚军  2021年川渝辩论邀请赛季军。</t>
  </si>
  <si>
    <t>微信图片_2025-12-23_202824_617.jpg(链接7天有效，失效请重新同步)</t>
  </si>
  <si>
    <t>61.138.177.27</t>
  </si>
  <si>
    <t>东北师范大学代表队</t>
  </si>
  <si>
    <t>王婷慧,东北师范大学,2022,Ricky_05201121</t>
  </si>
  <si>
    <t>邢艺馨,东北师范大学,2023,19234360096</t>
  </si>
  <si>
    <t>董沫含,东北师范大学,2023,CcAri21</t>
  </si>
  <si>
    <t>张丁心,东北师范大学,2019,wellzdx</t>
  </si>
  <si>
    <t>黄煜政,东北师范大学,2024,hhyyzz4121</t>
  </si>
  <si>
    <t>张硕,东北师范大学,2024,lovedddOv0102</t>
  </si>
  <si>
    <t>陈紫晗（领队）,东北师范大学,2024,Ahannnn0617</t>
  </si>
  <si>
    <t>赵俣桐,东北师范大学,2022,13230355960,2024华东云游邀请赛大学组亚军(全国赛24队) 2025第八届湛语杯亚军 全程最佳辩手(64队非限制) 2025 和合之辩高校辩论邀请赛亚军暨佳辩（32队非限制） 2024第一届枫吟杯亚军暨佳辩(32队非限制 ) 2024 触龙杯新春特辑亚军 暨佳辩(24队非限制) 2025第二届初度杯冠军（48队非限制） 2025第六届锋芒杯团体辩论赛冠军（24队非限制） 2023第六届北美国际华语辩论赛历史杯季军（51队非限制） 2023第三届言蹊杯辩论邀请赛冠军（48队非限制） 2023第一届碰了个爪主题订制辩论赛亚军（48队非限制） 2023第一届轻语杯网络辩论赛季军（48队非限制） 2023第二届云涯雾海高校辩论邀请赛四强 暨佳辩（32队非限制） 2024年第三届戏言杯lovestory网络辩论赛冠军（非限制32队） 2024年第三届超大量杯网络辩论赛八强(64队) 2025年第二届东北师范大学“惟思杯”季军 暨全程最佳辩手 2023东北师范大学“青年当有为”校辩论赛全程最佳辩手</t>
  </si>
  <si>
    <t>孙健钊,东北师范大学,2024,s13321411439</t>
  </si>
  <si>
    <t>张佳奇,东北师范大学,2020,Adrian221119,2025国际华语辩论邀请赛八强暨最佳新秀 2024云游杯·华东辩论邀请赛亚军暨全程最佳辩手（24队全国赛） 2020年不知周也冠军及全程最佳辩手（48队非限制） 第三届未来杯科幻主题巡回辩论赛八强暨佳辩（240队国际赛） 2024可持续发展青年创辩大会综合赛区冠军（16队） 2021年华语辩论世界杯长春赛区亚军暨佳辩（8队循环赛） 2022年华语辩论世界杯长春赛区冠军暨佳辩（8队循环赛） 2023年华语辩论世界杯长春赛区冠军暨佳辩（8队循环赛） 2021年吉林省大学生青年大学习杯辩论赛季军暨佳辩（43队实体赛） 2021年SOD秋季赛冠军暨佳辩 2022年SOD春季赛冠军暨佳辩 2022年SOD秋季赛季军及全程最佳 2023第三届言蹊杯辩论邀请赛冠军暨佳辩（48队） 2024第一届轻语杯网络辩论赛季军暨佳辩（48队） 2024第一届迎春白雪华语辩论邀请赛季军暨佳辩（32队） 2024第二届云涯雾海高校辩论邀请赛四强暨佳辩（32队） 2024第三届戏言杯爱情主题辩论赛冠军暨决赛最佳（32队） 2024第七届北美国际华语辩论邀请赛东北赛区冠军（32队） 2024第四届言蹊杯辩论邀请赛季军（64队）</t>
  </si>
  <si>
    <t>廖发昶,东北师范大学,2022,lfc13679440504,2023华语辩论世界杯总决赛十六强（48队国际赛） 2024国际华语辩论邀请赛.资格赛十二强（48队国际赛） 2024云游杯·华东辩论邀请赛亚军（24队全国赛） 2024可持续发展青年创辩大会综合赛区冠军（16队地区赛） 2025云游国际华语辩论邀请赛预选赛12强暨最佳辩手(282队全国赛) 2023第六届北美国际华语辩论邀请赛决赛杯季军（32队国际赛） 2023华语辩论世界杯黄金联赛长春赛区冠军暨最佳辩手（8队） 2023爱益青年百院逐鹿辩论赛青训赛区季军暨全程最佳辩手（64队） 2023第六届北美国际华语辩论赛历史杯季军暨最佳辩手（51队） 2024第七届北美国际华语辩论赛东北赛区冠军暨最佳辩手（16队） 2024第一届沧海杯·爱情主题辩论赛四强暨最感人辩手（32队） 2023第八届鸾台杯网络辩论赛季军暨最佳辩手（32队） 2024第一届轻语杯网络辩论赛季军暨最佳辩手（48队） 2023第三届言蹊杯辩论邀请赛冠军（48队） 2023第一届碰了个爪主题订制辩论赛亚军（48队） 2024第一届迎春白雪华语辩论邀请赛季军（32队） 2024第二届云涯雾海高校辩论邀请赛四强（32队） 2024第三届霍格沃茨学院杯亚军（24队） 2024第三届超大量杯网络辩论邀请赛八强（64队） 2024第一届天阙杯历史主题网络辩论赛三强暨最佳辩手（20队） 2024第一届京津冀华语辩论邀请赛预选赛四强暨最佳辩手（32队） 触龙杯新春特辑邀请赛亚军（24队） 第八届湛語华语辩论邀请赛冠军暨决赛最佳辩手(64队)</t>
  </si>
  <si>
    <t>戴泺霏,东北师范大学,2024,lovezzzOv0331</t>
  </si>
  <si>
    <t>湘西土家族苗族自治州</t>
  </si>
  <si>
    <t>240e:380:e772:5600:38c1:754c:9fde:ddf7</t>
  </si>
  <si>
    <t>Mozilla/5.0 (Linux; Android 12; FIN-AL60a Build/HUAWEIFIN-AL60a; wv) AppleWebKit/537.36 (KHTML, like Gecko) Version/4.0 Chrome/142.0.7444.173 Mobile Safari/537.36 XWEB/1420113 MMWEBSDK/20251006 MMWEBID/4619 MicroMessenger/8.0.66.2980(0x2800423E) WeChat/ar</t>
  </si>
  <si>
    <t>nice小队</t>
  </si>
  <si>
    <t>曹明扬（领队）,华中师范大学,2019级,18074317101,第三届堆雪人杯网络辩论赛季军，第四届堆雪人杯网络辩论赛亚军，20年武汉市经世之才高校财经辩论赛季军，第二届君子雅安季军，2024ADA个人赛八强</t>
  </si>
  <si>
    <t>安琳琳,岭南大学,2023级（研）,13042461056,第一届核动力杯高校赛区季军暨全程最佳 沈阳赛区2021黄金联赛亚军 沈阳赛区2020黄金联赛季军  第三届萤烛杯四强  第二届君子安雅季军</t>
  </si>
  <si>
    <t>张盛,四川大学,2025级（博）,18984916652,第一届天浙武暑期网辩联赛冠军（64）(solo赛) 第二届星球杯网辩赛亚军（32）（单场佳辩） 第三届君子安雅网络辩论邀请赛季军（32）（单场佳辩） 第三届晴琪杯网辩赛季军（32）（单场佳辩） 第三届不知周也网络辩论赛季军（64）（单场佳辩） 第四届星球杯网络辩论赛亚军（32） 2019年天津赛区联赛杯亚军（16） 2021谦谨和夏季联赛亚军（32） 2020年天津赛区联赛杯亚军（16） 2020年天津市大学生思政辩论实体赛亚军（44）（单场佳辩） 2021年天津市大学生思政辩论实体赛冠军（44）（单场佳辩） 2021津辩九河杯辩论实体赛季军（17） 2022华语辩论世界杯天津赛区冠军 2022年阴间杯阴间辩论帝 2023年风华杯辩论赛亚军（32）（单场佳辩） 2023年西洲杯季军（32） 2023年第五届飞鸿踏雪杯季军（32） 2023年第二届“齐仲杯”预选赛亚军（32）</t>
  </si>
  <si>
    <t>冯梓嘉,昆士兰大学,2018级（研）,_iaLnuYoaH9</t>
  </si>
  <si>
    <t>杨佳乐,燕山大学,2024级（研）,18932921237,华语辩论世界杯秦皇岛赛区季军，单场佳辩</t>
  </si>
  <si>
    <t>王擎天,燕山大学,2020级,18712752776</t>
  </si>
  <si>
    <t>王梓渝,云南财经大学,2022级,Bonnie0206y</t>
  </si>
  <si>
    <t>朱一南,云南财经大学,2022级,s2026h-z</t>
  </si>
  <si>
    <t>陈梓嫣,中山大学,2025级,wxid_onh1w5e06ymv12</t>
  </si>
  <si>
    <t>刘缤雨,重庆科技大学,2025级,yinzhuwitch</t>
  </si>
  <si>
    <t>刘易晓,华南理工大学,2022级,Kimi Magnussen</t>
  </si>
  <si>
    <t>淮安市</t>
  </si>
  <si>
    <t>2409:8925:8227:649:2863:5dff:fed5:986b</t>
  </si>
  <si>
    <t>Mozilla/5.0 (Linux; Android 15; NX769J Build/AQ3A.240812.002; wv) AppleWebKit/537.36 (KHTML, like Gecko) Version/4.0 Chrome/142.0.7444.173 Mobile Safari/537.36 XWEB/1420113 MMWEBSDK/20250904 MMWEBID/8795 MicroMessenger/8.0.65.2960(0x28004153) WeChat/arm64</t>
  </si>
  <si>
    <t>南瓜小布丁</t>
  </si>
  <si>
    <t xml:space="preserve">胡志成,南京工业大学,2018级,19552398673,2021年 首杯辩届粤港澳大湾区百校超级联赛 季军 2022年 第九届南北论赛 冠军 2022年 第九届国际问题辩论赛 亚军 2022年 第十三届安徽辩论联赛·团体赛 冠军 2024年 第三届江苏省高校辩论公开赛 亚军 2025年 第四届江苏省高校辩论公开赛 季军 </t>
  </si>
  <si>
    <t>李炎希,南京审计大学,2018级,feuxespoir1010,2025年 第五届“新南杯”暨第四届世界华语辩论冠军邀请赛 冠军 2024年 第三届江苏高校辩论公开赛 冠军暨全程最佳辩手 2024年 第十二届国际华语辩论邀请赛 八强 2022年 第十届世界华语辩论锦标赛 季军 2021年 第八届“天伦杯”全国政法院校辩论赛 亚军暨全程最佳辩手 2021年 第三届“丰瑞杯”法治与文化全国辩论邀请赛 季军 2020年 华语辩论世界杯南京赛区 冠军</t>
  </si>
  <si>
    <t>徐佳鹏,南京工业大学,2019级,15161085178,2025年 第二届江淮杯华语辩论公开赛 冠军 2025年 第三届东隅杯华语辩论联赛 亚军 2024年 第三届江苏省高校辩论公开赛 亚军 2023年 第十届南京市鸣辩仙林高校辩论赛 季军</t>
  </si>
  <si>
    <t>喻江雪,南京工业大学,2020级,18914725492,2022年 第一届博学论道杯华语辩论联赛 冠军暨全程最佳辩手 2022年 第五届北美国际华语辩论邀请赛 冠军 2022年 第九届国际问题辩论赛 亚军 2022年 第十三届安徽辩论联赛·团体赛 冠军 2024年 第三届江苏省高校辩论公开赛 亚军暨全程最佳辩手 2025年 第四届江苏省高校辩论公开赛 季军</t>
  </si>
  <si>
    <t>肖瑶,南京工业大学,2020级,aurorefille2828,2022年 第九届国际问题辩论赛 亚军 2022年 第十三届安徽辩论联赛·团体赛 冠军 2024年 第三届江苏省高校辩论公开赛 亚军 2025年 第四届江苏省高校辩论公开赛 季军      2025年 雲衢论道•国际高校华语辩论赛 季军 2025年 可持续发展青年创辩大会（大陆赛区） 冠军</t>
  </si>
  <si>
    <t>刘子豪,武汉大学,2020级,LouisH,2025年 第三届空想杯一人之下主题辩论赛 冠军 2025年 第四届温韵杯国际华语辩论邀请赛 季军 2024年 第四届可持续发展青年创辩大会 季军 2023年 第五届星火杯网络辩论赛燎原赛区 冠军 2022年 第一届博学论道杯华语辩论联赛 冠军</t>
  </si>
  <si>
    <t>顾季锟,南京工业大学,2022级,15174174688,2023年 第一届锋芒杯新生赛区 亚军暨决赛最佳辩手 2023年 KO辩论·SOD明辩之星秋季联赛 冠军 2024年 第五季百辩101 亚军 2025年  第四届淮水杯网络辩论赛 冠军 2025年   第四届东隅杯网络辩论赛 冠军 2025年 第四届江苏省高校辩论公开赛 季军</t>
  </si>
  <si>
    <t>张家轩（随评）,南京林业大学,2023级,zjx8111011117,2025年 第十六届南京市高校辩论赛 冠军暨全程最佳辩手 2025年 第四届江苏省高校辩论公开赛 季军暨全程最佳辩手 2025年 第一届彭城论道·华语辩论高校邀请赛 亚军暨单场最佳辩手 2024年 第二届“苏才杯”南京赛区 冠军暨单场最佳辩手 2024年 第五届N6南京高校辩论联赛 冠军暨单场最佳辩手</t>
  </si>
  <si>
    <t>钱烁,南京工业大学,2023级,q15233133079,2024年 第五届博学论道杯华语辩论联赛 冠军 2024年 第一届归鸿杯网络辩论赛 亚军 2025年 第一届风语杯南京高校辩论联赛 季军暨全程最佳辩手 2025年 第四届东隅杯网络辩论赛 亚军 2025年 第四届江苏省高校辩论公开赛 季军暨单场最佳辩手 2025年 SOD明辩之星秋季赛电影专场 季军</t>
  </si>
  <si>
    <t>徐子佳,南京工业大学,2024级,luobojing2006,2025年 第一届江苏辩论超级联赛 季军 2025年 SOD明辩之星秋季赛电影专场 季军 2025年 第十六届南京市高校辩论赛 殿军 2025年 第一届浪花杯网络辩论赛 冠军</t>
  </si>
  <si>
    <t>时溢（领队）,南京工业大学,2024级,sy985443048,2025年 第一届江苏辩论超级联赛 亚军</t>
  </si>
  <si>
    <t>上份报名信息有误，进行更正，以本表信息为准</t>
  </si>
  <si>
    <t>新疆维吾尔自治区</t>
  </si>
  <si>
    <t>哈密市</t>
  </si>
  <si>
    <t>124.118.55.27</t>
  </si>
  <si>
    <t>FUGIN</t>
  </si>
  <si>
    <t>fugin队伍履历.doc(链接7天有效，失效请重新同步)</t>
  </si>
  <si>
    <t>张迈（领队）,长春建筑学院,2024,zhang19190137383</t>
  </si>
  <si>
    <t>单昕雅,长春建筑学院,2024,13614366226</t>
  </si>
  <si>
    <t>徐雅玲,安徽大学,2023,18847187497</t>
  </si>
  <si>
    <t>刘佳豪,长春建筑学院,2024,18531703382</t>
  </si>
  <si>
    <t>罗佶,中国科技技术大学,2019,18570302506</t>
  </si>
  <si>
    <t>周忠鸿,长春建筑学院,2024,1988376230</t>
  </si>
  <si>
    <t>娄雨杭,长春建筑学院,2024,18746387220</t>
  </si>
  <si>
    <t>石壹彤,长春建筑学院,2024,t18904425033</t>
  </si>
  <si>
    <t>李想,长春建筑学院,2024,lx18343409002</t>
  </si>
  <si>
    <t>隋东旭,长春建筑学院,2016,shsisnshsknwh</t>
  </si>
  <si>
    <t>卢文思,长春建筑学院,2019,Lu5893674</t>
  </si>
  <si>
    <t>宋青杨（随评）,长春建筑学院,2023,CamelliaYLWT, 2024年第一届华语辩论巡回锦标赛季军 第二届蓝莓蛋糕杯网络辩论赛季军 第一届星沉杯网络辩论赛亚军(32队单场佳辩) 第一届鹌鹑蛋杯网络辩论赛亚军 第一届食话食说杯网络辩论赛八强 第一届无限猴子网络辩论赛季军 第一届灵均杯网络辩论赛四强(32队单场佳辩) 第一届饮冰杯网络辩论赛冠军(32队单场佳辩 第一届罐子杯网络辩论赛四强(32队单场佳辩) 限制 第一届析理杯限制级网络辩论赛冠军 第一届春阳杯限制级网络辩论赛季军</t>
  </si>
  <si>
    <t>珠海市</t>
  </si>
  <si>
    <t>120.231.170.188</t>
  </si>
  <si>
    <t>暨南大学珠海校区辩论队</t>
  </si>
  <si>
    <t>李妍霏（领队）（不上赛）,暨南大学珠海校区,2023级,NMCF_ell,无</t>
  </si>
  <si>
    <t>邱星烁,暨南大学珠海校区,2023级,hmyg81617797,无</t>
  </si>
  <si>
    <t>张伟力,暨南大学珠海校区,2023级,KitaujiFighto,无</t>
  </si>
  <si>
    <t>邓佳瑶,暨南大学珠海校区,2023级,Ai5358979323,无</t>
  </si>
  <si>
    <t>陈乾东,暨南大学珠海校区,2024级,wxid_1fixhs82ea7z22,无</t>
  </si>
  <si>
    <t>梁虹宇,暨南大学珠海校区,2024级,lhy2005-1012,无</t>
  </si>
  <si>
    <t>叶佳昕,暨南大学珠海校区,2024级,yejiaxin2015,无</t>
  </si>
  <si>
    <t>周予川,暨南大学珠海校区,2025级,preternaturalspruce,无</t>
  </si>
  <si>
    <t>梁淑柔,暨南大学珠海校区,2025级,shurouliang,无</t>
  </si>
  <si>
    <t>刘栩欣,暨南大学珠海校区,2025级,kdhs231,无</t>
  </si>
  <si>
    <t>吴炫舟,暨南大学珠海校区,2025级,wxid_glaqjdazb5iv22,无</t>
  </si>
  <si>
    <t>徐思灿,暨南大学珠海校区,2025级,m198886035793,无</t>
  </si>
  <si>
    <t>莫菲（随评）,暨南大学珠海校区,2016级,Mfljs123456789,2019世界华语辩论锦标赛广东地区季军暨全程最佳辩手 2019、2020港珠澳辩论赛冠军暨决赛最佳辩手 2021 国际华语辩论锦标赛华夏杯亚军 2021第十九届澳门高等院校学生辩论赛冠军暨单场最佳辩手 2021第九届天伦杯全国政法院校辩论赛亚军 2022第十届华语辩论锦标赛总决赛八强暨单场最佳辩手</t>
  </si>
  <si>
    <t>领队不上赛</t>
  </si>
  <si>
    <t>金华市</t>
  </si>
  <si>
    <t>39.188.8.9</t>
  </si>
  <si>
    <t>Mozilla/5.0 (Windows NT 10.0; Win64; x64) AppleWebKit/537.36 (KHTML, like Gecko) Chrome/130.0.0.0 Safari/537.36 QuarkPC/6.0.2.624</t>
  </si>
  <si>
    <t>你们说的都队</t>
  </si>
  <si>
    <t>张钧凯,金华职业技术大学,大二,pco2333,无</t>
  </si>
  <si>
    <t>周琦侃,金华职业技术大学,大二,Crow_1201K,无</t>
  </si>
  <si>
    <t>孙毅罗,金华职业技术大学,大二,sunyiluo060509,无</t>
  </si>
  <si>
    <t>裘可欣,金华职业技术大学,大二,qiukexin1234567,无</t>
  </si>
  <si>
    <t>陈子轩,金华职业技术大学,大一,czx20070123,无</t>
  </si>
  <si>
    <t>李若尔,金华职业技术大学,大一,Lire20070108,无</t>
  </si>
  <si>
    <t>赵麒英,金华职业技术大学,大一,zqy10950523,无</t>
  </si>
  <si>
    <t>汤灿,金华职业技术大学,大一,wxid_qj7xlwjss3cc22,无</t>
  </si>
  <si>
    <t>汕头市</t>
  </si>
  <si>
    <t>120.239.15.167</t>
  </si>
  <si>
    <t>Mozilla/5.0 (Linux; Android 11; 21091116AC Build/RP1A.200720.011; wv) AppleWebKit/537.36 (KHTML, like Gecko) Version/4.0 Chrome/142.0.7444.173 Mobile Safari/537.36 XWEB/1420113 MMWEBSDK/20251006 MMWEBID/4386 MicroMessenger/8.0.66.2980(0x28004252) WeChat/a</t>
  </si>
  <si>
    <t>辩神何忠原和他的挂件们</t>
  </si>
  <si>
    <t>江知涵（领队）,27,ChangMu2sh</t>
  </si>
  <si>
    <t>赖洪进,上海政法学院,24级,19110114297	,SDA一轮游辩手</t>
  </si>
  <si>
    <t>尹新雨	,布达佩斯国际学校,30级,AMY0420520</t>
  </si>
  <si>
    <t>王尚欣悦	,山西医科大学,24级,2756247135</t>
  </si>
  <si>
    <t>何忠原	,浙江工业大学,25级,tcsnhzy</t>
  </si>
  <si>
    <t>罗佳成	,西南科技大学,23级,15281974074</t>
  </si>
  <si>
    <t>樊若雨		,廊坊师范大学,24级,abc7788211778</t>
  </si>
  <si>
    <t>刘鼎毅		,华南理工大学,23级,13345390663</t>
  </si>
  <si>
    <t>罗星	,桂林理工大学,24级,15079097915</t>
  </si>
  <si>
    <t>彭小花,塔里木职业技术学院,23级,15009393490</t>
  </si>
  <si>
    <t>萧选珂		,华南农业大学珠江学院,23级,13690447562,2025雪花杯64队八强 2025鸣月杯32队冠军 2025广厦杯48队六强 2025鹭下秋水2.0 48队亚军🥈 2025隽永杯2.0 32队冠军🏆 2025秋天梅下雨停1.0 32队季军 2025赓续杯1.0 32队季军 2025年华杯3.0 16队保底亚军 2025新苗迎风48队2.0冠军🏆</t>
  </si>
  <si>
    <t>韩桐正		,太原工业学院,19级,17735746042</t>
  </si>
  <si>
    <t>2408:843e:20:974:cfb:bcff:ba53:4ba0</t>
  </si>
  <si>
    <t>Mozilla/5.0 (iPhone; CPU iPhone OS 17_6_1 like Mac OS X) AppleWebKit/605.1.15 (KHTML, like Gecko) Mobile/15E148 MicroMessenger/8.0.62(0x18003e3a) NetType/4G Language/zh_CN miniProgram/wxebadf544ddae62cb</t>
  </si>
  <si>
    <t>东柚东恩</t>
  </si>
  <si>
    <t>郝千悦（领队）,南京传媒学院,2024级,qyynl0708</t>
  </si>
  <si>
    <t>张枝俏（随评）,南京传媒学院,2023级,17755534622,张枝俏 南京传媒学院 2023级 1.2025年上海杯华语辩论锦标赛大学组亚军（88队无限制国际赛） 2.第二届日月和鸣辩论个人挑战赛南方赛区八强（64队无限制solo） 3. 第一届奶龙杯全程最佳辩手（限制级32队） 3.第二届星辰杯全国大学生公益慈善主题冠军（32队无限制） 4.第一届淮海地区高校辩论邀请赛季军（32队无限制） 5.第一届青霞杯网络辩论赛亚军（32队限制级） 6.第二届苏才杯辩论赛南京赛区季军（16队无限制） 7.第一届辩论星球杯亚军（16队无限制） 8.2025南京市赛亚军（线下32队无限制） 10. 第三届苏堤春晓杯网络辩论赛亚军（32队无限制）</t>
  </si>
  <si>
    <t>邱子卿,南京传媒学院,2025级,B_612xjq</t>
  </si>
  <si>
    <t>刘浩然,南京传媒学院,2023,HRWBAD</t>
  </si>
  <si>
    <t>侯士怡,南京传媒学院,2025,H17630182265</t>
  </si>
  <si>
    <t>孙文萱,南京传媒学院,2025,Swx1028James1230</t>
  </si>
  <si>
    <t>周才渝,南京传媒学院,2023,Zz_25N121E</t>
  </si>
  <si>
    <t>陈玟贝,南京传媒学院,2024,c18118677708</t>
  </si>
  <si>
    <t>刘洋,南京传媒学院,2025,wxid_t93tjty00mu322</t>
  </si>
  <si>
    <t>白亚豪,南京传媒学院,2024,B1239-1239</t>
  </si>
  <si>
    <t>郝雅如,南京传媒学院,2024,15174990499</t>
  </si>
  <si>
    <t>李若菲,南京传媒学院,2024,2024LRF060528MY</t>
  </si>
  <si>
    <t>8c773b33542140c6dc489732fd31cc8a.jpeg(链接7天有效，失效请重新同步)</t>
  </si>
  <si>
    <t>73be9b61a9233b9ead5bf86b74c53ca1.jpeg(链接7天有效，失效请重新同步)</t>
  </si>
  <si>
    <t>651cebc4aaa760c5427c7a5c0931817c.jpeg(链接7天有效，失效请重新同步)</t>
  </si>
  <si>
    <t>cf0106d09a78e4c0b85dc3860ad0a544.jpeg(链接7天有效，失效请重新同步)</t>
  </si>
  <si>
    <t>388f2cc5a5f32744015fbff9ea599317.jpeg(链接7天有效，失效请重新同步)</t>
  </si>
  <si>
    <t>218.82.1.129</t>
  </si>
  <si>
    <t>Mozilla/5.0 (Windows NT 10.0; Win64; x64) AppleWebKit/537.36 (KHTML, like Gecko) Chrome/132.0.0.0 Safari/537.36 NetType/WIFI MicroMessenger/7.0.20.1781(0x6700143B) WindowsWechat(0x63090a13) UnifiedPCWindowsWechat(0xf254151e) XWEB/17071 Flue</t>
  </si>
  <si>
    <t>庄生晓梦</t>
  </si>
  <si>
    <t>谈淑畅,上海立信会计金融学院,大三,19921447898</t>
  </si>
  <si>
    <t>季笑鸥,上海立信会计金融学院,大一,shichengjiuxiang</t>
  </si>
  <si>
    <t>朱玲羽,上海立信会计金融学院,大二,lily17301800635</t>
  </si>
  <si>
    <t>任禾,上海立信会计金融学院,大一,R-Ariiiiii</t>
  </si>
  <si>
    <t>崔子妍,上海立信会计金融学院,大一,wxid_367jus8i2yme22</t>
  </si>
  <si>
    <t>樊沛鑫,上海立信会计金融学院,大一,ssbyjskwjdu_pixiu10</t>
  </si>
  <si>
    <t>孙忻妍,上海立信会计金融学院,大一,Sxxxyyyy-Sophia7766</t>
  </si>
  <si>
    <t>倪慧,上海立信会计金融学院,大二,Lliterature</t>
  </si>
  <si>
    <t>陈玥含,上海立信会计金融学院,大一,cyh10111728</t>
  </si>
  <si>
    <t>孙志伟,上海立信会计金融学院,大二,SZW_135648933309</t>
  </si>
  <si>
    <t>张语涵,上海立信会计金融学院,大二,Liveforever051125</t>
  </si>
  <si>
    <t>何蕴辰,上海社会科学院,研二,Jason20130234</t>
  </si>
  <si>
    <t>114.246.204.251</t>
  </si>
  <si>
    <t>Mozilla/5.0 (Windows NT 10.0; Win64; x64) AppleWebKit/537.36 (KHTML, like Gecko) Chrome/132.0.0.0 Safari/537.36 NetType/WIFI MicroMessenger/7.0.20.1781(0x6700143B) WindowsWechat(0x63090a13) UnifiedPCWindowsWechat(0xf2541517) XWEB/17071 Flue</t>
  </si>
  <si>
    <t>bitter之明思锐辩</t>
  </si>
  <si>
    <t>杨赜恺（领队）,北京理工大学,2024,misaka520502,第六届鸣晓杯冠军决赛佳辩 第二届百合杯季军 廛铎历史主题辩论赛冠军 第二届扶光杯亚军带佳 第三届南柯杯季军 凡榕高校新生邀请赛四强 第二届鸣钟杯亚军</t>
  </si>
  <si>
    <t>赵思为,上海大学,2022,ediiee_zhuri,第一届识渡.知丘(32队)冠军暨全程最佳辩手第二十届上海市16校辩论赛(16队)亚军第十四届上海市人道问题辩论赛(52队)八强第一届闽江杯(24队)亚军暨佳辩第一届似锦杯(24队)亚军暨佳辩第三届天合个人挑战赛(32队)季军暨佳辩第三届争鸣杯个人挑战赛(102人)16强暨佳辩第二届容止杯亚军(32队)第九届超新星辩论赛sh赛区(24队)季军暨佳辩第一届蛋糕杯辩论赛(48队)6强暨佳辩第二届独上杯 32队季军暨佳辩第一届鸣钟杯辩论赛4强(32队)2025第五届云衔杯网络辩论赛殿军(56队无限制)第一届寄风杯16队冠军暨佳辩第三届食话食说杯64队八强暨佳辩第一届雾都孤儿杯季军(32队)第二届荷花杯亚军(32队)第三届苏堤春晓杯季军(32队)第一届云衢杯冠军(16队)</t>
  </si>
  <si>
    <t>刘贝尔,北京理工大学,2019,Tracy_GN,第六届鸣晓杯冠军兼全程最佳辩手，第二届百合杯季军，廛铎历史主题辩论赛冠军，苏堤春晓季军。华北电力大学第27届校园辩论赛最佳辩手，第28届校园辩论赛最佳教练，2022年华语辩论世界杯保定赛区最佳辩手，2023年华语辩论世界杯杰出评委、“首都八校”辩论赛三等奖，“天元杯”辩论赛优秀随队评委</t>
  </si>
  <si>
    <t>王炜闳,陕西师范大学,2024,s18087701047,无</t>
  </si>
  <si>
    <t>杨小雨,南京工业大学,2020,rfvtgbyhnm_,苏堤春晓·双人戏曲主题网络辩论赛(32队)季军 2025第二届百合杯辩论赛(32队)季军 2025第二届廛铎杯历史主题辩论赛(24队)冠军 2025华语辩论庐州杯(16队)，季军 2025新辩风辩论赛(48队)亚军 2025玄序杯辩论赛冠军(32队) 2025第四届云起杯网络辩论赛冠军(48队) 2025第四届东隅杯网络辩论赛季军(32队) 2025第九届濠梁杯网络辩论赛冠军(48队) 2025第一届木棉杯辩论赛冠军(16队) 2025第二届听语杯辩论赛冠军(32队) 2025第一届浪花杯网络辩论赛冠军(16队) 2025第八届蜀辩季军(32队) 2021全国中医药联赛预选赛八强(275队) 2021全国中医药联赛总决赛亚军 2024ADA全国辩论公开赛甲级亚军（64队） 2024第一届鸢蝶杯（32队）冠军 2024第一届爱情公寓杯（32队） 季军 2024第一届迤逦杯华语网络辩论公开赛(24队) 季军 2021类星体亚军(54队) 2021通电小人杯亚军(32队) 2021山岳杯冠军(28队) 2019－2020渔樵俱乐部联赛亚军 2020双辛杯六强(48队) 2020年南有嘉木季军(32队) 2020年星火杯季军(32队) 2022年风华杯辩论赛季军（32队）</t>
  </si>
  <si>
    <t>杨淳开,北京理工大学,2024,yzc15851912018,第三届南柯杯季军 凡榕高校新生邀请赛四强 第二届鸣钟杯亚军第二届扶光杯亚军第六届鸣晓杯冠军决赛佳辩 第二届百合杯季军</t>
  </si>
  <si>
    <t>魏明德,北京理工大学,2024,bob2243339510,第六届鸣晓杯（非限制级）冠军；第二届浮光杯亚军，全程最佳辩手；第二届鸣钟杯亚军，一场佳辩；第三届南柯杯季军；第三届一轮游杯（非限制级）季军；第十五届国韵辩论赛冠军，全程最佳辩手</t>
  </si>
  <si>
    <t>洪启涵,南京邮电大学,2023,a324422018,第二届百合杯季军，第六届鸣晓杯（非限制级）冠军</t>
  </si>
  <si>
    <t>缪政翕,华北电力大学,2024,blfffff-,第二届扶光杯亚军，第二届百合杯季军，第六届鸣晓杯（非限制级）冠军</t>
  </si>
  <si>
    <t>陈丹丹,中华女子学院,2023,Merakichen,第二届百合杯季军，第六届鸣晓杯（非限制级）冠军</t>
  </si>
  <si>
    <t>刘子源,北京理工大学,2020,Yy_20020607,第六届樱花杯首都高校辩论赛 冠军兼单场最佳辩手 第四届薪火杯首都高校辩论赛季军第六届鸣晓杯网络辩论赛冠军第二届廛铎杯历史主题辩论赛冠军第二届百合杯季军兼单场最佳辩手</t>
  </si>
  <si>
    <t>王彦宸（随评）,燕山大学,2023,T15033382220,第一届新锋高校辩论精英锦标赛亚军＋全程佳辩 第一届知北游网络辩论赛八强＋单场佳辩 2025年知行杯高校辩论邀请赛冠军＋单场佳辩（两场佳辩） 第一届百合杯网络辩论赛季军＋单场佳辩 第二届廛铎历史主题辩论赛冠军 第六届鸣晓杯网络辩论赛冠军 第二届羁绊杯网络辩论赛冠军   第一届新锋高校辩论精英锦标赛亚军 教练</t>
  </si>
  <si>
    <t>7fc6accdfc1eb5f4d78a90f54d12d785.jpg(链接7天有效，失效请重新同步)</t>
  </si>
  <si>
    <t>58.40.32.25</t>
  </si>
  <si>
    <t>Mozilla/5.0 (Linux; Android 12; BRA-AL00 Build/HUAWEIBRA-AL00; wv) AppleWebKit/537.36 (KHTML, like Gecko) Version/4.0 Chrome/142.0.7444.173 Mobile Safari/537.36 XWEB/1420125 MMWEBSDK/20251006 MMWEBID/5681 MicroMessenger/8.0.66.2980(0x28004252) WeChat/arm6</t>
  </si>
  <si>
    <t>周源琳的谎话真情行动力（答应某某某一起打但是敷衍太久被迫拉车版）</t>
  </si>
  <si>
    <t>高伟乐（领队）,上海工商外国语职业学院,2024,ayue657_</t>
  </si>
  <si>
    <t>周源琳,西南林业大学,2023,nikuaikuawoya</t>
  </si>
  <si>
    <t>赵靖泽,桂林师范学院,2018</t>
  </si>
  <si>
    <t>李耀臻,湖南财政经济学院,2022</t>
  </si>
  <si>
    <t>许仲远,北京邮电大学,2022</t>
  </si>
  <si>
    <t>沈云龙,湖北工业大学工程技术学院,2023</t>
  </si>
  <si>
    <t>张家欢,北京物资学院,2023</t>
  </si>
  <si>
    <t>汤君尧,奥克兰大学,2022</t>
  </si>
  <si>
    <t>吴松涛,哈尔滨商业大学,2020</t>
  </si>
  <si>
    <t>张超杰,郑州经贸学院,2023</t>
  </si>
  <si>
    <t>夏睿杰,哈尔滨商业大学,2020</t>
  </si>
  <si>
    <t>周光达（随评）,苏州科技大学,24研,zgd13063873659,2025苏言杯季军（12）地区赛 2025第二届可可杯亚军（24） 2025第二届百合杯网络辩论赛亚军（24） 2025第三届怪谈冠军（16） 2025第一届青青竹言季军暨单场佳辩（32） 2025第一届论衡庐州亚军（16） 2025第一届顺颂时祺冠军（32） 2025第二届隽永亚军（32） 2025第一届绣球冠军（32） 2025第三届苏堤春晓季军（32） 2025星辰新疆赛区冠军暨决赛单场佳辩（9） 2025第一届华语辩论群岛文化邀请赛亚军暨单场佳辩（64） 2025第一届桃雾季军（32） 2025第一届江苏辩论超级联赛冠军暨全程最佳（13市） 2025第二届识渡华语辩论联赛夏季赛亚军 (48) 2025第二届广厦六强（48） 2025第三届食话食说冠军（64） 2025第一届无限猴子季军（32） 2025星辰彭城论道亚军（线下16） 2025星辰西北赛区冠军（32） 2025第二届岁聿云暮季军（线下32） 2025第二届秦淮杯高校邀请赛亚军（线下32） 2024苏言杯亚军暨三场佳辩（地区赛） 2025第一届雪花杯季军（64） 2025第一届柿子杯亚军暨单场佳辩（24队） 2025第五届鸣晓杯浮云赛道季军（32队） 2025第一届一期一会杯网络辩论赛无限制级赛道亚军（32队） 2025 第三届ADA全国辩论公开赛亚军（100队） 2024星辰凌寒冬季赛solo亚军（64） 2024全球青年绿色创新大会(杭州)暨可持续发展青年创辩大会冠军 2024第一届深思杯季军暨单场佳辩（20） 2024星辰杯全国大学生辩论巡回赛·资格赛季军（32） 2024第一届百合杯亚军暨单场佳辩（32） 2024第三届千禧亚军暨单场佳辩（32） 2024第二届不摸鱼杯亚军（32队） 2024第七届世界中联中医药主题辩论赛亚军（320队） 2024第三届寻鸢杯冠军暨单场佳辩（24） 2024日升月恒solo8强（128） 2024第三届“超大量杯”亚军暨单场佳辩（64队） 2024第二届翩羽杯季军暨全程最佳（32） 2024第一届鹦鹉杯亚军暨单场佳辩（32） 2024第一届广厦杯季军（20队） 2024第一届刻烛杯冠军（32） 2024第三届淮水杯季军（48） 2024第二届空想杯星辰系列赛事冠军（24） 2024第七届北美国际华语辩论邀请赛华东赛区亚军（16队） 2024第一届懒懒杯冠军暨两场佳辩（32） 2024第一届新辩风杯亚军（32） 2024第一届迤逦杯亚军暨全程最佳（16） 2024第四届清友杯亚军（32） 2024第一届金风玉露季军（42） 2024第三届苏辩8强暨单场佳辩（56队省赛） 2024第一届星辰怪谈冠军（32） 2024第六届飞鸿踏雪冠军暨履历局决赛两场佳辩（48） 2024第一届征婚杯亚军暨单场佳辩（24） 2024第三届云衔杯季军（64） 2024第一届星辰竞技季军暨单场佳辩（32） 2024第二届知行联赛不破防杯冠军暨单场佳辩（32） 2024第一届科一杯冠军暨单场佳辩（32） 2024第六届未名杯亚军暨全程最佳（16） 2024第七届濠梁杯冠军（32） 2024第三届鸣晓杯季军暨单场佳辩（32） 2024第一届纯爱杯季军（32） 2024第一届识渡杯亚军暨两场佳辩（48） 2024第一届清淮杯solo冠军（32） 2024第一届问蓝杯六强（64队） 2024第一届空想杯季军（32队） 2023第一届坚定杯季军（32队） 2023年第一届大唐开元礼杯冠军（32） 2023第一届回音杯亚军（64队） 2023第三届可持续发展青年创辩大会长沙季军（48队） 2023第三届可持续发展创辩大会成都亚军（8队） 2023第一届恐龙杯季军两场佳辩暨全程最佳（32队） 2023第一届星台杯冠军暨单场佳辩（16） 2023第六届濠梁杯亚军暨单场佳辩（48） 2023第二届怪谈杯冠军暨两场佳辩（46） 2023第一届陈词杯冠军暨单场佳辩（32） 2023第五届飞鸿踏雪杯亚军暨单场佳辩（32） 2023第一届苦瓜杯solo冠军（40） 2023第六届中医药预选赛8强（231） 2023第一届绥禧杯冠军（32） 2023第一届鲨鲨杯冠军（32） 2023第二届戏言杯冠军（32） 2023第一届氓蚩杯冠军（34） 2023第一届不知名杯亚军（32） 2023第一届风启杯冠军（16） 2023第七届星火杯季军（32） 2023第一届怪谈杯季军（64） 2023第七届双蝶杯季军（32） 2023第一届星辰杯8强（64） 2022第二十二届华语网辩甲级联赛亚军（32） 2022坚白杯季军暨单场佳辩（32） 2022第三届不知周也杯冠军（64） 2022第一届第七艺术杯冠军（32） 2022华语辩论世界杯贵阳赛区亚军 2022第二届第七艺术杯季军（32） 2022第一届溱洧杯季军（32） 2022第一届祈风杯季军（32） 2022第一届月下寻鹿杯季军（32） 2022第二届清友杯8强（64） 2022第五届濠梁杯8强（64） 2021第一届风华杯四强（32） 2021第二届薪火杯冠军（24） 2021第五届鸾台杯冠军（36） 2021第十八届华语网辩超级联赛亚军（32） 2020第一届倔强杯亚军（32） 2020第一届木兰杯亚军（16）</t>
  </si>
  <si>
    <t>重庆市</t>
  </si>
  <si>
    <t>2409:8961:2b86:8fa6:c03c:1347:c95f:be13</t>
  </si>
  <si>
    <t>麻辣烙饼团</t>
  </si>
  <si>
    <t>吉晗喆,西南政法大学,本科2024级,lycheeorangeeeee,西南政法大学商学院迎新杯冠军 最佳辩手</t>
  </si>
  <si>
    <t>吴昌汲,西南政法大学,本科2024级,wu949496362,西南政法大学天伦杯辩论赛优秀队伍</t>
  </si>
  <si>
    <t>杨子怡,西南政法大学,本科2024级,Yzyyy0029,西南政法大学商学院迎新杯辩论赛三等奖 +最佳辩手 西南政法大学圣瑞敕辩论赛优秀辩手 西南政法大学天伦杯辩论赛优秀队伍</t>
  </si>
  <si>
    <t>郁兰, 西南政法大学,本科2024级,l2013085631,西南政法商学院迎新杯三等奖 西南政法擂台赛八强</t>
  </si>
  <si>
    <t>肖沁函 领队,西南政法大学,本科2024级,wxdzhrbc,西南政法大学商学院迎新杯辩论赛二等奖  西南政法大学天伦杯辩论赛优秀队伍</t>
  </si>
  <si>
    <t>莆田市</t>
  </si>
  <si>
    <t>59.58.138.126</t>
  </si>
  <si>
    <t>Mozilla/5.0 (Windows NT 10.0; Win64; x64) AppleWebKit/537.36 (KHTML, like Gecko) Chrome/132.0.0.0 Safari/537.36 NetType/WIFI MicroMessenger/7.0.20.1781(0x6700143B) WindowsWechat(0x63090a13) UnifiedPCWindowsWechat(0xf254160e) XWEB/18055 Flue</t>
  </si>
  <si>
    <t>待定</t>
  </si>
  <si>
    <t>懋懋（领队）,北京交通大学,22级,17359079811,1.第一届无尽夏·岁暮流盼亚军 2.第三届食话食说·食品杯亚军 3.第一届无限猴子杯冠军 4.第二届寄风青丘亚军 5.第一届yy杯亚军 6.第一届雾都之声杯季军 7.第二届广厦杯亚军 8.第一届轩辕风雷杯冠军 9.第一届浪花杯亚军 10.第一届鹭下秋水冠军 11.第六届云衔杯冠军 12. 第二届未来知声世界青年思辨大赛青年组亚军 13. 第一届风月杯冠军 14. 第二届樱花杯冠军 15. 第四届云起杯辩论赛 季军 16. 第一届玄序盼朔风杯网络辩论赛季军 17. 第四届求实杯 季军 18. 第二届雪中平杯 冠军 19. 2025 球知杯 亚军  带佳 20. 2025 紫荆杯  亚军 21. 2025 罐子杯 冠军全程 22. 2025 第二届荷花杯 冠军 23. 2025 第二届银汐杯 亚军 24. 2025 第六届清友杯 冠军 25. 2025 忭忻憪熹杯 亚军 及单场最佳辩手 26. 2025 燕蓟争鸣 北京赛区黄金联赛季军 27. 2025 第一届罗曼城杯  冠军 27. 2025 第一届寻境杯 冠军 28. 2025 第二届雨霁杯 亚军 29. 2025  第一届观澜杯solo辩论赛 亚军 30. 2025 久慕鸿才 亚军</t>
  </si>
  <si>
    <t>吴嘉昊,上海工商外国语职业学院,22级,w13916794995,2025年第十七届“博创杯”国际峰会选拔赛 -亚军（16队非限） 2024年星辰杯世界大学生辩论巡回赛·总决赛  -季军（24队非限线下） 2024年第三届豫辩九州全国线下赛·总决赛  -季军（24队非限线下） 2025年第一届志合杯辩论巡回赛线下赛·总决赛  -季军（32队非限线下） 2025第一届江苏辩论超级联赛 -冠军（13队非限城市线下赛） 2025年第一届“蓝荔杯”×辩论星球辩论赛 -亚军➕全程最佳辩手（24队非限） 2025年星辰杯世界大学生辩论巡回赛·专科高校资格赛  -冠军➕全程最佳辩手（8队非限） 2025年第三届松鼠杯网络辩论赛 -亚军➕全程最佳辩手（16队非限） 2025年第一届高原联赛·致用杯高校辩论联赛 -季军➕最佳辩手（32队非限） 2025年第一届知北游高校辩论邀请赛 -八强➕最佳辩手（96队非限） 2025年第一届白鹤杯网络辩论赛 -季军➕最佳辩手（32队非限） 2025年第一届鹭下秋水杯网络辩论赛 -亚军➕最佳辩手（32队非限） 2025年第一届执言杯网络辩论赛 -亚军➕最佳辩手（16队非限） 2025年第二届松鼠杯网络辩论赛 -亚军➕最佳辩手（24队非限） 2024年第二届发财杯网络辩论赛 -季军➕最佳辩手（32队非限） 2025年闽辩·第一届福建省高校辩论公开赛暨2025年星辰杯世界大学生辩论巡回赛·福建赛区 -季军➕最佳辩手（17队非限省赛） 2025年第一届宁夏回族自治区高校辩论公开赛暨2025年星辰杯世界大学生辩论巡回赛·宁夏赛区 -冠军（8队非限省赛） 2025年第一届谏言杯网络辩论赛 -季军➕最佳辩手（32队非限） 2025年第四届松鼠杯网络辩论赛 -冠军➕最佳辩手（16队非限） 2025年第一届绣球杯网络辩论赛 -冠军➕最佳辩手（32队非限） 2025年第二届廛铎杯历史主题辩论赛暨2025年星辰杯世界大学生辩论巡回赛廛铎历史主题赛区 -季军（24队非限） 2025年第三届年华杯﹣&amp;#34;登仙阁&amp;#34;修仙主题赛事 -冠军（16队非限） 2025年第二届鸿鹄杯网络辩论赛 -冠军（32队非限） 2025年第八届协友杯网络辩论赛 -亚军（12队非限） 2025第二届六爻·双人制华语辩论公开赛 -亚军（32队非限） 2025年第五届云衔杯网络辩论赛 -殿军（56队非限） 2025年第一届玄序·盼朔风杯网络辩论赛 -冠军（32队非限） 2025年第九届濠梁杯网络辩论赛 -冠军（48队非限） 2025年第一届盼盼杯网络辩论赛 -季军（32队非限） 2025年第一届轩辕·洛书杯网络辩论赛 -季军（32队非限） 2024年第一届热议杯网络辩论赛 -季军（32队非限） 2024年第一届听语杯网络辩论赛 -亚军（32队非限） 2024年第一届枫吟杯网络辩论赛 -亚军（32队非限）</t>
  </si>
  <si>
    <t>丁佳杰,延安大学,22级,15801774587,主要履历： 2025声棒冠AMSIB 第五届国际华语辩论赛殿军（四强）暨生死战最佳辩手（无限制16队） 第一届博清杯•银川市华语辩论邀请赛暨2025华语辩论世界杯银川赛区冠军暨全程最佳辩手（无限制8队） 2024闻道长安•西安市辩论联赛资格赛华语辩论世界杯西安赛区联赛杯季军暨全程最佳辩手（无限制14队） 2025陕西省致用杯高原辩论联赛冠军暨全程最佳辩手（无限制32队） 第一届西北辩论联赛暨2025星辰杯世界大学生辩论巡回赛·西北赛区亚军暨全程最佳辩手（无限制32队） 2025陇辩·第二届甘肃省高校辩论公开赛冠军暨全程最佳辩手（无限制13队，外援身份） 2025第一届宁夏回族自治区高校辩论公开赛冠军暨全程最佳辩手（无限制8队，外援身份） 第二届六爻•双人制华语辩论公开赛亚军暨全程最佳辩手（无限制32队） 第八届协友杯辩论团体赛亚军暨全程最佳辩手（无限制12队循环） 第四届寻鸢杯网络辩论赛亚军暨全程最佳辩手（无限制16队） 第一届鸣钟杯网络辩论赛季军暨全程最佳辩手（无限制32队） 第六届协友杯辩论团体赛季军暨全程优秀辩手（无限制11队循环） 2024SOD明辨之星秋季辩论联赛全程最佳辩手（限制级64队） 第八届天合个人挑战赛冠军（无限制32队个人赛） 第二届松鼠杯网络辩论赛冠军（无限制24队个人赛，暨全程） 第三届维衡杯辩论公开赛冠军（无限制16队个人赛，暨全程） 2025青梅酒杯夏季辩论个人邀请赛冠军（无限制16队个人赛，暨全程） 第三届国际华语辩论个人公开赛•南方赛道亚军（无限制64队个人赛） 第五届松鼠杯网络辩论赛亚军（无限制16队个人赛） 第一届日月和鸣个人赛殿军（无限制64队个人赛） 第七届蜀辩冠军（无限制16队） 第九届濠梁杯网络辩论赛冠军 （无限制48队） 第二届容止杯网络辩论赛冠军（无限制32队） 第一届不落樱杯网络辩论赛冠军（无限制32队） 第二届金风玉露杯网络辩论赛冠军（无限制24队） 第二届廛铎杯历史主题辩论赛冠军（无限制24队） 第一届云衢辩锋网络辩论赛冠军（无限制16队） 第一届大历神杯历史主题网络辩论赛冠军（无限制16队） 2023“经世杯”陕西省校际辩论赛冠军（无限制16队） 第三届年华杯﹣&amp;#34;登仙阁&amp;#34;修仙主题赛事冠军（无限制16队） 第三届逍遥杯网络辩论赛冠军暨单场佳辩（无限制16队） 2025TAT高校辩论锦标赛冠军暨两场最佳辩手（无限制24队） 第八届君子安雅网络辩论赛亚军暨单场最佳辩手（无限制双赛道32队） 第一届无限猴子杯网络辩论赛亚军暨单场最佳辩手（无限制32队） 第六届锋芒团体邀请赛季军暨决赛最佳辩手（无限制24队） 第七届山有木兮网络辩论赛季军暨两场最佳辩手（无限制32队） 第一届琢言杯网络辩论赛季军暨单场最佳辩手（无限制32队） 第一届轶海杯网络辩论赛季军暨单场最佳辩手（无限制32队） 第五届云衔杯网络辩论赛七强暨单场最佳辩手（无限制56队） 第一届知北游高校辩论邀请赛十六强暨单场最佳辩手（无限制96队）</t>
  </si>
  <si>
    <t>倪文睿,福州大学,15级,13107605008,1. 2025华语辩坛小友赛四强、最佳辩手（实体全国赛、30队）2. 2025上海杯全国大学生华语辩论锦标赛十强 （实体全国赛、56队）3. 24年星辰杯全国大学生辩论巡回赛-总决赛冠军（实体全国赛、24队）4. 23年“明辩·第一届青年心理健康发展华语辩论大会”冠军（全国赛、48队）5. 16年辩论世界杯福州赛区冠军（实体、8队循环）6. 23年辩论世界杯海口赛区亚军（实体、8队循环）7. 16年“万科杯”辩论邀请赛冠军、全程最佳（实体、18队）8. 20年表达者联盟国际部四强（实体、10队循环）9. 21年明兴杯国际奥瑞冈辩论邀请赛季军（实体、8队循环）10. 第二十四届华语网辩擂台赛季军、无伤击杀（网辩、32队）11. 23年中医药预选赛12强（实体、231队）12. 24年“清淮杯”冠军（网辩、solo、24队）13. 22年“思华杯—思归”冠军、决赛最佳辩手（邀请赛）14. 22年霁月杯辩论赛四强（网辩、33队）15. 22年“溱洧杯”四强、单场最佳（网辩、32队）16. 22年“扩容杯”8强、单场最佳（网辩、64队）17. 22年“濠梁杯”4强、单场最佳（网辩、48队）18. 22年“第七艺术杯”季军、单场最佳（网辩、32队）19. 23年第八届微光辩论冬季个人争霸赛冠军（网辩，solo，16人）20. 23年“怪谈杯”辩论赛季军（网辩、64队）21. 23年“濠梁杯”亚军、单场最佳（网辩、64队）22. 23年“不知名杯”冠军、决赛最佳（网辩、32队）23. 23年“时初杯”亚军（网辩、48队）24. 23年“绮罗杯”冠军、单场最佳（网辩、54队）25. 23年“碰爪杯”四强（网辩、48队）26. 23年“矩阵杯”冠军（网辩、32队）27. 23年“百城杯”冠军、单场最佳（网辩、32队）28. 23年“第七艺术杯”冠军（网辩，32队）29. 23年“鲨鲨杯”冠军、单场最佳（网辩、32队）30. 23年“言蹊杯”亚军（网辩、48队）31. 23年“云衔杯”亚军、单场最佳（网辩、64队）32. 23年“星辰杯”四强、单场最佳（网辩、64队）33. 23年“第二届怪谈杯”冠军（网辩、54队）34. 23年第四届“青云杯“冠军、决赛最佳（实体、32队）35. 23年“人间黄昏”杯冠军、单场最佳（网辩、32队）36. 23年“清友杯”四强、单场最佳（网辩、64队）37. 23年“陈词杯”亚军（网辩、16队）38. 23年“绥喜杯”四强、单场最佳（网辩、32队）39. 23年“时初杯”亚军（网辩、32队）40. 23年“坚定杯”四强、单场最佳（网辩、32队）41. 24年“空想杯”冠军、单场最佳（网辩、32队）42. 24年“清淮杯”四强（网辩、solo、32人）43. 24年“星火杯”亚军（网辩、32队）44. 24年“尽兴归舟”四强、单场最佳（网辩、64队）45. 24年“鸣晓杯”亚军、单场最佳（网辩、32队）46. 24年“方头杯”亚军、单场最佳（网辩、32队）47. 24年“西楼杯”冠军（网辩、48队）48. 24年“星沉杯”亚军、最佳辩手（网辩、32队）49. 24年“山有木兮杯”四强（网辩、32队）50. 24年“破茧杯”四强、单场最佳（网辩、32队）51. 24年“年华杯”亚军、单场最佳（网辩、32队）52. 24年“星辰系列赛事-怪谈杯”6强（网辩、48队）53. 24年“百辩101”季军、全程最佳（网辩、32队）54. 24年“戏言杯”四强（网辩、32队）55. 24年“百城杯”冠军（网辩、16队）56. 24年“珠玉杯”亚军（网辩、32队）57. 24年第四届“清友杯”冠军、单场最佳（网辩、32队）58. 24年“漱玉杯”四强、单场最佳（网辩、32队）59. 24 年“金风玉露杯”亚军、单场最佳（网辩、42队）60. 24年“沧海杯”亚军（网辩、32队）61. 24年“琢言杯”冠军（网辩、32队）62. 24年“日月和鸣杯” 冠军（网辩、solo、64人）63. 24年第二届“陈词杯”季军（网辩、16队）64. 24年“空想杯”季军、单场最佳（网辩、23队）65. 24年“君子雅安杯”亚军、单场最佳（网辩、32队）66. 24年“第三届淮水杯”亚军、单场最佳（网辩、48队）67. 24年“懒懒杯”季军（网辩、32队）68. 24年“樱花杯”冠军（网辩、16队）69. 2024年第二届广厦杯·星辰系列网络辩论赛亚军（20队）70. 24年“尽兴归舟”亚军（网辩、32队）71. 24年“寻鸢杯”3强、单场最佳（网辩、24队）72. 24年“风启杯”冠军、决赛最佳（网辩、32队）73. 24年“回音杯”冠军（网辩、32队）74. 24年“鸣晓杯”四强、单场最佳（网辩、32队）75. 24年“衔华杯”冠军、单场最佳（网辩、32队）76. 24年“云衔杯”四强、单场最佳（网辩、32队）77. 24年“不知名杯”冠军（网辩、32队）78. 24年“ada大奖赛”四强、单场最佳（网辩、32队）79. 24年“无题杯”季军、决赛最佳（网辩、24队）80. 24年“星火9.0”冠军（网辩、32队）81. 24年“第三届千禧杯”冠亚（网辩、32队）82. 24年“第一届百合杯”冠军（网辩、32队）83. 24年“发财杯”亚军（网辩、24队）84. 24年“桃园杯”冠军（网辩、16队）85. 24年“星辰杯”四强、单场最佳（网辩、32队）86. 24年“南湘杯”亚军、单场最佳（网辩、32队）87. 24年“不器杯”亚军、单场最佳（网辩、32队）88. 24年“热议杯”亚军（网辩、32队）89. 24年“金风玉露杯”冠军、决赛最佳（网辩、32队）90. 24年“隽永杯”冠军（网辩、32队）91. 24年“青蛙杯”冠军（网辩、24队）92. 25年第五届鸣晓杯浮云赛道亚军（网辩、32队）93. 25年第一届雪花杯亚军(网辩、64队)94. 25年第三届一轮游杯四强(网辩、32队）95. 25年ada ADA全国辩论公开赛亚军（网辩、100队）96. 25年“濠梁杯”四强（网辩、48队）97. 24年“山城杯”亚军（网辩、32队）98. 2025年第二届苏堤春晓杯冠军（网辩、48队）99. 2025年“梧桐杯”冠军、单场最佳（网辩、32队）100. 2025年第一届“鸣钟杯”季军、单场最佳（网辩、32队）101. 2025年第二届“星沉杯”季军（网辩、32队）102. 2025年第二届“枫吟杯”四强（网辩、32队）103. 2025年“玉瑶杯”四强（网辩、32队）</t>
  </si>
  <si>
    <t>方宇斌,海南大学,16级,15501916610</t>
  </si>
  <si>
    <t>杨承然,芝加哥大学,24研,13701863812,2019临潮杯英国赛区冠军  2019国际华语辩论邀请赛黑卡资格赛季军，单场最佳 2020世锦赛英国赛区冠军  2020首届全英华语辩论赛亚军 ，单场最佳 第五届星火杯燎原赛区（32队）季军，多场最佳 第一届西楼杯（32队）亚军 第一届百城杯（16队）亚军，多场最佳 第一届DK魔王挑战赛（32人）亚军 第一届北美个人赛（24人）冠军 第七届论道人文网络交流赛（32队）季军，多场最佳 第二届云衔杯（64队）季军，单场最佳 第一届苦瓜杯（40队）亚军，全程最佳 第二届怪谈杯（48队）六强 第五届沐川杯（32队）冠军，决赛最佳 第一届回音杯（64队）冠军，决赛最佳 第一届坚定杯（32队）亚军，全程最佳 第三届尽兴归舟杯（64队）八强 第二届北美个人赛亚军（84人） 第三届云衔杯季军（64队） 第一届容止杯八强（64队），单场最佳 第一届琢言杯亚军（32队），单场最佳 第一届雨霁杯亚军（32队） 第二届新辩风杯冠军（48队），决赛最佳 2024 世界杯 美国赛区 亚军+全程最佳辩手 2025 哥谈杯季军+全程最佳辩手 2025 北美名校杯 冠军+全程最佳辩手</t>
  </si>
  <si>
    <t>张原赫,西安交通大学城市学院,22级,18804438688,&amp;#34;辩论履历 —2018年善巧杯西安赛区季军 —2019年陕西省第三届学长杯辩论赛季军+佳辩 —2019年联赛杯西安赛区亚军16队 —2020年第四届临潮杯国际辩论邀请赛西安赛区冠军12队 —2023年第二届陕西省大学生文化联盟三秦杯亚军32队 —2023年联赛杯西安赛区冠军16队+全程 —2024年华语辩论世界杯城市邀请赛冠军+佳辩 —2024年第四届清友杯季军32队+佳辩 —2024年第一届友谊魔法杯冠军24队+佳辩 —2024年第一届云影杯季军48队 —2024年第一届触龙杯季军32队 —2024年第二届不知名杯季军32队 —2024年星辰杯高校联赛东北赛区季军40队 —2024年第一届雨霁杯·速通赛道季军32队+全程 —2024年繁花2.0·荷花杯季军32队 —2024年第七届蜀香麻辣杯冠军16队 —2024年第一届南柯杯亚军32队 —2024年第二届0717杯冠军25队 —2024年第四届云衔杯亚军48队 —2024年第二届一轮游杯冠军32队 —2024第一届流火杯季军32队 —2024年星辰杯高校联赛东北赛区线下赛段亚军40队+全程 —2024第四届类星体杯亚军24队 —2024第五届桃园杯亚军16队 —2024第一届玉瑶杯冠军32队 —2024星辰杯全国大学生辩论巡回赛·资格赛亚军32队 —2024第一届听语杯冠军32队 —2024第一届黛蛾杯亚军24队 —2024西安辩论联赛（黄金联赛）西安赛区亚军8队+全程 —2024年 第一届四元素·南风杯 月眠赛道 冠军（28队） —2025年ADA线上辩论赛十三强（100队）+佳辩 —2025年第五届鸣晓杯浮云赛道冠亚季军32队 —2025年第四届淮水杯冠亚季32队 —2025年第一届雪花杯冠亚季64队 —2025年第二届铁锅炖大鹅杯亚军32队 —2025年第一届一期一会杯网络辩论赛季军32队&amp;#34;</t>
  </si>
  <si>
    <t>周光达,苏州科技大学,24研,2024全球青年绿色创新大会(杭州)暨可持续发展青年创辩大会冠军 2024第一届深思杯季军暨单场佳辩（20）2024星辰杯全国大学生辩论巡回赛·资格赛季军（32）2024第一届百合杯亚军暨单场佳辩（32）2024第三届千禧亚军暨单场佳辩（32）2024第二届不摸鱼杯亚军（32队）2024第七届世界中联中医药主题辩论赛亚军（320队）2024第三届寻鸢杯冠军暨单场佳辩（24）2024日升月恒solo8强（128）2024第三届“超大量杯”亚军暨单场佳辩（64队）2024第二届翩羽杯季军暨全程最佳（32）2024第一届鹦鹉杯亚军暨单场佳辩（32）2024第一届广厦杯季军（20队）2024第一届刻烛杯冠军（32）2024第三届淮水杯亚军（48）2024第二届空想杯星辰系列赛事冠军（24）2024第七届北美国际华语辩论邀请赛华东赛区亚军（16队）2024第一届懒懒杯冠军暨两场佳辩（32）2024第一届新辩风杯亚军（32）2024第一届迤逦杯亚军暨全程最佳（16）2024第四届清友杯亚军（32）2024第一届金风玉露季军（42）2024第三届苏辩8强暨单场佳辩（56队省赛）2024第一届星辰怪谈冠军（32）2024第六届飞鸿踏雪冠军暨履历局决赛两场佳辩（48）2024第一届征婚杯亚军暨单场佳辩（24）2024第三届云衔杯季军（64）2024第一届星辰竞技季军暨单场佳辩（32）2024第二届知行联赛不破防杯冠军暨单场佳辩（32）2024第一届科一杯冠军暨单场佳辩（32）2024第六届未名杯亚军暨全程最佳（16）2024第七届濠梁杯冠军（32）2024第三届鸣晓杯季军暨单场佳辩（32）2024第一届纯爱杯季军（32）2024第一届识渡杯亚军暨两场佳辩（48）2024第一届清淮杯solo冠军（32）2024第一届问蓝杯六强（64队）2024第一届空想杯季军（32队）2023第一届坚定杯季军（32队）2023年第一届大唐开元礼杯冠军（32）2023第一届回音杯亚军（64队）2023第三届可持续发展青年创辩大会长沙季军（48队）2023第三届可持续发展创辩大会成都亚军（8队）2023第一届恐龙杯季军两场佳辩暨全程最佳（32队）2023第一届星台杯冠军暨单场佳辩（16）2023第六届濠梁杯亚军暨单场佳辩（48）2023第二届怪谈杯冠军暨两场佳辩（46）2023第一届陈词杯冠军暨单场佳辩（32）2023第五届飞鸿踏雪杯亚军暨单场佳辩（32）2023第一届苦瓜杯solo冠军（40）2023第六届中医药预选赛8强（231）2023第一届绥禧杯冠军（32）2023第一届鲨鲨杯冠军（32）2023第二届戏言杯冠军（32）2023第一届氓蚩杯冠军（34）2023第一届不知名杯亚军（32）2023第一届风启杯冠军（16）2023第七届星火杯季军（32）2023第一届怪谈杯季军（64）2023第七届双蝶杯季军（32）2023第一届星辰杯8强（64）2022第二十二届华语网辩甲级联赛亚军（32）2022坚白杯季军暨单场佳辩（32）2022第三届不知周也杯冠军（64）2022第一届第七艺术杯冠军（32）2022华语辩论世界杯贵阳赛区亚军2022第二届第七艺术杯季军（32）2022第一届溱洧杯季军（32）2022第一届祈风杯季军（32）2022第一届月下寻鹿杯季军（32）2022第二届清友杯8强（64）2022第五届濠梁杯8强（64）2021第一届风华杯四强（32）2021第二届薪火杯冠军（24）2021第五届鸾台杯冠军（36）2021第十八届华语网辩超级联赛亚军（32）2020第一届倔强杯亚军（32）2020第一届木兰杯亚军（16）</t>
  </si>
  <si>
    <t>周阳,西南民族大学,24研,15328050264,2016年大连市驭衡杯亚军 16队 2016年旅顺联赛亚军及决赛最佳辩手 2017年CHINA OPEN中国辩论公开赛第十名 2017年华语辩论世界杯大连赛区亚军及最佳辩手 8队循环 2018年大连市驭衡杯冠军及决赛最佳辩手16队 2019年华语辩论世界杯大连赛区亚军及最佳辩手 8队循环 2020年华语辩论世界杯大连赛区亚军及最佳辩手 8队循环 2021年第二届星火杯燎原赛区网络辩论赛季军32队 2021年第三届夏季辩论联赛八强48队 2021年九鼎杯华语辩论邀请赛六强及最佳辩手48队 2021年第二届历物杯网络辩论赛亚军32队 第十九届华语网辩甲级联赛六强及最佳辩手（种子队伍） 2021年第三届未央杯网络辩论赛季军32队 2021年第三届星火杯燎原赛区网络辩论赛亚军32队 2021年第五届双蝶杯网络辩论赛八强96队 2021年大外交智库第一届中国国际关系青年辩论赛冠军56队 2022年北美辩论联赛4.0八强及最佳辩手64队 2022年第七届鸾台杯网络辩论赛冠军36队 2022年第一届青云杯网络辩论赛冠军及最佳辩手32队 2022年第四届蜀辩网络辩论赛冠军32队 2022年第一届宵星杯网络辩论赛季军32队 2022年第一届云齐杯网络辩论赛四强45队 2022年第六届双蝶杯网络辩论赛八强及最佳辩手144队 2022年第二届青云杯网络辩论赛冠军32队 2022年第四届霁月杯网络辩论赛季军52队 2022年第四届濠梁杯网络辩论赛季军48队 2022年第二届扩容杯网络辩论赛季军及最佳辩手64队 2022年第二届弘景杯网络辩论赛季军32队 2023年第二届请友杯网络辩论赛八强64队 2023年第三届青云杯网络辩论赛季军32队 2023年第一届星沉杯网络辩论赛亚军32队 2023年第一届圆桌网络辩论赛季军32队 2023年第三届锋芒杯团体邀请赛季军32队 2023年第八届坚白杯网络辩论赛季军及最佳辩手32队 2023年可持续发展青年创辩大会公开组亚军48队 2023年第三届清友杯网络辩论赛季军及最佳辩手64队 2023年第二届矩阵杯网络辩论赛季军32队 2024年第一届坚定杯网络辩论赛亚军32队 2024年第三届云衔杯网络辩论赛八强64队 2024年第七届山有木兮网络辩论赛（无限制）冠军32队 2024年第二届不摸鱼杯网络辩论赛（无限制）季军32队 2024年第二届新辩风杯网络辩论赛冠军及最佳辩手48队 2024年第一届不器杯网络辩论赛冠军16队 2025上海杯全国华语辩论锦标赛殿军 2025年第二届铁锅炖大鹅杯网络辩论赛季军及最佳辩手32队 2025年第四届羲和杯网络辩论赛亚军及最佳辩手16队 2025年第一届白鹤杯网络辩论赛亚军及最佳辩手32队 2025年第一届盼盼杯网络辩论赛季军及最佳辩手32队 2025年第一届鸣钟杯网络辩论赛季军32队（无限制） 2025年第一届西北辩论联赛暨2025星辰杯世界大学生辩论巡回赛·西北赛区亚军（无限制32队）</t>
  </si>
  <si>
    <t>冯浩源,澳门大学,20研,15810072771,2025年第二届新锋·高校辩论精英锦标赛冠军暨全程最佳辩手（16队循环赛） 2025年首届合成生物学技术安全与伦理辩论赛冠军暨全程最佳辩手（8校邀请制） 2025年第四届逍遥杯网络辩论赛季军（16队） 2025年第二届六爻·双人制华语辩论公开赛亚军（32队） 2025年陇辩·星辰杯全国大学生辩论巡回赛甘肃赛区冠军暨单场最佳辩手（省赛） 2025年闽辩·星辰杯全国大学生辩论巡回赛福建赛区季军暨单场最佳辩手（省赛） 2025年知北游高校辩论邀请赛亚军暨四场最佳辩手（96校） 2025年第四届风启杯网络辩论赛季军（16队） 2025年第二届年华杯网络辩论赛季军（32队） 2025年第一届鹭下秋水网络辩论赛季军暨最佳辩手（32队） 2025年第一届柿子杯网络辩论赛亚军（24队） 2025年第四届寻鸢杯网络辩论赛亚军（16队） 2024星辰杯全国大学生辩论巡回赛总决赛优秀队伍（全国赛） 2024星辰杯全国大学生辩论巡回赛·环保赛区季军暨全程最佳辩手（省赛） 2024年星辰杯全国大学生辩论巡回赛·个人巅峰赛全国亚军暨最佳辩手（全国赛） 2024年星辰杯全国大学生辩论巡回赛·甘肃赛区冠军暨全程最佳辩手（省赛） 2024年星辰杯全国大学生辩论巡回赛·个人赛（南方无限制区）四强（32队） 2024年星辰杯全国大学生辩论巡回赛·个人赛（北方无限制区）四强（32队） 2024年第一届轶海杯网络辩论赛亚军（32队） 2024年第一届雨霁杯网络辩论赛·速通赛道季军（24队） 2024年第三届淮水杯华语辩论联赛冠军（32队） 2024年第四届清友杯网络辩论赛季军（32队） 2024年第一届容止杯华语辩论联赛季军（64队） 2024年第二十四届华语网辩擂台赛八强暨“绝地翻盘”辩手（全程唯三） 2024年星火8.0网络辩论赛无限制赛区季军（32队） 2023年第二届陈词杯网络辩论赛季军（16队） 2023年度华语辩论世界杯厦门赛区优秀评委 2023年第一届寻鸢杯网络辩论赛亚军暨决赛最佳辩手（322队） 高校科幻·星辰杯2023夏季辩论赛冠军（64队） 2023年第二届千禧杯网络辩论赛亚军（32队） 2023年第一届矩阵杯网络辩论赛亚军暨最佳辩手（32队） 2023年第二十二届华语网辩甲级联赛亚军暨最佳辩手（32队） 2023年第一届陈词杯网络辩论赛冠军暨最佳辩手（32队） 2023年第一届圆桌网络辩论赛亚军暨全程最佳辩手（32队） 2023年第一届戏言杯超级英雄主题辩论赛季军（16队，含佳辩） 2023年第二届氓蚩杯爱情主题辩论赛冠军暨最佳辩手（34队） 2022年华语辩论世界杯福州赛区季军（7队循环） 2022年南方科技大学“喜迎二十大，纪律学习月”廉政主题辩论赛冠军 2022年第一届启明杯网络辩论赛亚军暨最佳辩手(16队) 2022年第一届祈风杯网络辩论赛冠军(32队) 2022年第六届君子安雅网络辩论赛季军(16队) 2022年第三届弈鸣杯网络辩论赛亚军暨最佳辩手（32队，三场佳辩） 2022年第九届南北杯网络辩论赛季军暨最佳辩手（32队） 2022年坚白杯夏季辩论赛季军（32队） 2022年第一届风华杯网络辩论赛团体赛季军暨最佳辩手（32队，两场佳辩) 2022年第一届宵星杯网络辩论赛季军(32队) 2021年YSI可持续发展辩论赛冠军 2021年澳门高等院校华语辩论表演赛优胜奖 2021年第十九届澳门高等院校学生辩论赛普通话组季军（省赛） 2021年第六届微光夏季辩论赛季军(32队） 2021年粤港澳百校辩论联赛16强暨最佳辩手(128队，两场佳辩) 2021年第一届澳门友谊联合杯辩论赛冠军暨决赛最佳辩手（省赛） 2020年第十八届澳门高等院校学生辩论赛普通话组冠军（省赛） 2019年北京市艺言杯辩论赛季军（市赛） 2018年京津冀防艾杯辩论赛八强暨单场最佳辩手（省赛）</t>
  </si>
  <si>
    <t>唐娜,厦门大学,10级,15960243569,第二届小孩杯冠军＋佳辨 第一届新辨风冠军＋佳辨 第一届不落樱冠军＋佳辨 第四届飞鸿踏雪季军＋全程最佳 第一届寻鸢亚军 第二届寻鸢亚军＋佳辨 第二届年华杯亚军＋佳辨 第一届超大量杯季军＋佳辨 第一届苏堤春晓戏曲杯冠军➕佳辩</t>
  </si>
  <si>
    <t>1. 各位老师还在商量由谁来出任随评，暂时没有结果，如果有幸能够成功报名参加本次的比赛，会尽快让水平老师进入随评群；2. 队员曾获24年“ada大奖赛”四强、单场最佳（网辩、32队） 3.队员曾获25年Ada 线上赛亚军</t>
  </si>
  <si>
    <t>240e:404:1a00:1d37:75bc:c089:5f5b:2325</t>
  </si>
  <si>
    <t>Mozilla/5.0 (iPhone; CPU iPhone OS 18_5 like Mac OS X) AppleWebKit/605.1.15 (KHTML, like Gecko) Mobile/15E148 MicroMessenger/8.0.67(0x1800432b) NetType/4G Language/zh_CN</t>
  </si>
  <si>
    <t>北京外国语大学辩论队</t>
  </si>
  <si>
    <t>周知鱼（领队）,北京外国语大学,2024,18013726873</t>
  </si>
  <si>
    <t>刘传,北京外国语大学,2024</t>
  </si>
  <si>
    <t>李颂年,北京外国语大学,2023</t>
  </si>
  <si>
    <t>侯哲函,北京外国语大学,2023</t>
  </si>
  <si>
    <t>伍凯琳,北京外国语大学,2025</t>
  </si>
  <si>
    <t>蔡旭程,北京外国语大学,2025</t>
  </si>
  <si>
    <t>116.230.199.158</t>
  </si>
  <si>
    <t>Mozilla/5.0 (Windows NT 10.0; Win64; x64) AppleWebKit/537.36 (KHTML, like Gecko) Chrome/132.0.0.0 Safari/537.36 NetType/WIFI MicroMessenger/7.0.20.1781(0x6700143B) WindowsWechat(0x63090a13) UnifiedPCWindowsWechat(0xf254160e) XWEB/18151 Flue</t>
  </si>
  <si>
    <t>考雅思+胡老师wx可一对一，wx号ahhhhheihei</t>
  </si>
  <si>
    <t>奚瀚霖（领队）,上海海洋大学,2023,13501696398</t>
  </si>
  <si>
    <t>胡景智（随评）,墨尔本大学,2025研,1,1.第二届独上杯辩论赛 （32队线上） 亚军  全程佳辩  2.第二届星辰杯明日赛道季军（48队线上）全程明日之星，单场佳辩  3.第二届圆桌网络辩论赛（32队线上）全程佳辩  4.第一届苏才杯徐州赛区四强（16队线下）全程佳辩  5.第一届论衡庐州杯季军（16队线下）全程佳辩  6.第二届怪谈杯主题辩论赛（48队线上） 六强  7.第八届坚白杯 （32队线上）季军  8.秋收杯（32队线上）季军 单场佳辩      9.第一届珠玉杯（32队线上）季军  10.南京n6高校辩论联赛冠军（16队线上） 单场佳辩  11.苏辩（56队线下） 八强 单场佳辩  12.第一届圆桌辩论赛（32队线上） 季军 单场佳辩  13.第一届科一杯辩论赛（32队线上）季军  14.第一届霁月杯怪谈主题辩论赛 （64队线上） 八强  15.星辰杯主赛道六强（48队线上）单场佳辩  16.第二届苏辩四强（56队线下）佳辩x2  17.第一届琢言杯四强（32队线上）  18.第三届陈词杯季军（瑞士轮四胜）单场佳  19.第一届桉楠杯六强（48队线上）  20.第一届不知名杯四强（32队线上）  21.第一届六一杯冠军（16队线上）单场佳辩  22.第二届寻鸢杯季军（32队线上）单场佳辩  23.第七届蜀辩冠军（16队线上）  24.第二届轻语杯四强（32队线上）单场佳辩  25.第一届蒙面辩将 亚军（16队线上）  26.第一届东方欲晓 冠军 两场佳辩（24队地区赛线下）  27.第二届桉楠杯 四强（64队线上）  28.第一届新世纪杯 冠军（32队线上）  29.第一届雪花杯 八强 单场佳辩（64队线上）  30.第九届濠梁杯 冠军 （48队线上）  31.第二届圆桌邀请赛 亚军（16队小组循环赛）  32.第一届木棉杯网络辩论赛冠军（16队线上）  33.第二届云衔杯四强，履历局佳辩（32队线上）  34.第一届群岛杯八强，履历局佳辩（64队线上）  35.第三届衔华杯 履历局佳辩（32队线上）</t>
  </si>
  <si>
    <t>王文杰,中国人民解放军空军工程大学,2019,1</t>
  </si>
  <si>
    <t>张怡君,上海海洋大学,2024,1</t>
  </si>
  <si>
    <t>张静怡,东北师范大学,2023研,1</t>
  </si>
  <si>
    <t>沈笑宇,南京邮电大学,2022,1</t>
  </si>
  <si>
    <t>许迪,西安城市学院,2020,1</t>
  </si>
  <si>
    <t>杨华彤,南京邮电大学,2020,1</t>
  </si>
  <si>
    <t>张俊炜 ,福建中医药大学,2018,1</t>
  </si>
  <si>
    <t>陈晗彬,郑州工商学院,2020,1</t>
  </si>
  <si>
    <t>侯钧芝,哈尔滨师范大学,2018,1</t>
  </si>
  <si>
    <t>2408:8226:813:fa40:b9c7:8eaf:aac3:12d</t>
  </si>
  <si>
    <t>Mozilla/5.0 (iPhone; CPU iPhone OS 18_7 like Mac OS X) AppleWebKit/605.1.15 (KHTML, like Gecko) Version/26.2 Mobile/15E148 Safari/604.1</t>
  </si>
  <si>
    <t>太原科技大学校辩论队</t>
  </si>
  <si>
    <t>李沈奇 领队,太原科技大学,2023,15581925797,无</t>
  </si>
  <si>
    <t>谢佳澳,太原科技大学,2023,a15948806730,无</t>
  </si>
  <si>
    <t>严格,太原科技大学,2024,19735026591,无</t>
  </si>
  <si>
    <t>滑清轶 ,太原科技大学,2024,h7171871,无</t>
  </si>
  <si>
    <t>石林斌,太原科技大学,2024,slb23c5l2 ,无</t>
  </si>
  <si>
    <t>张晨阳,太原科技大学,2023,wxhhhhhhhhhh415,无</t>
  </si>
  <si>
    <t>焦超智,太原科技大学,2024,wxid_j7o3aotwwtvs22 ,无</t>
  </si>
  <si>
    <t>克拉玛依市</t>
  </si>
  <si>
    <t>240e:449:12c0:f8f:41df:8051:ab2f:4786</t>
  </si>
  <si>
    <t>Mozilla/5.0 (Phone; OpenHarmony 6.0) AppleWebKit/537.36 (KHTML, like Gecko) Chrome/132.0.0.0 Safari/537.36 ArkWeb/6.0.0.46SP3 Mobile MicroMessenger/8.0.14.37(0xf3800e25) Weixin NetType/4G Language/zh_CN MMWEBID/8315 MMWEBSDK/202512115004 XWEB/1320113</t>
  </si>
  <si>
    <t>海油联队</t>
  </si>
  <si>
    <t>孙嘉浩（领队）,中国石油大学（北京）克拉玛依校区,2025级,SJH18920496730,无</t>
  </si>
  <si>
    <t>孙佳琳,中国石油大学（北京）克拉玛依校区,2025级,LinYw_0,无</t>
  </si>
  <si>
    <t>唐诗曼,中国石油大学（北京）克拉玛依校区,2025级,tsmsndy,无</t>
  </si>
  <si>
    <t>柳茹丹,中国石油大学（北京）克拉玛依校区,2023级,ldlsn38324,星辰杯新疆赛区亚军</t>
  </si>
  <si>
    <t>沈瑞良,海南科技大学（美兰校区）,2024级,AS1357908642AS,赓续杯季军</t>
  </si>
  <si>
    <t>孙瑞鹏,海南科技大学（美兰校区）,2024级,renzhendema1,无</t>
  </si>
  <si>
    <t>刘嘉靖,海南科技大学（美兰校区）,2024级,h84220718lj,无</t>
  </si>
  <si>
    <t>李子鸣,海南科技大学（美兰校区）,2025级,lzm13086037001,无</t>
  </si>
</sst>
</file>

<file path=xl/styles.xml><?xml version="1.0" encoding="utf-8"?>
<styleSheet xmlns="http://schemas.openxmlformats.org/spreadsheetml/2006/main">
  <numFmts count="1">
    <numFmt numFmtId="300" formatCode="yyyy/m/d h:mm:ss;@"/>
  </numFmts>
  <fonts count="5">
    <font>
      <name val="Microsoft YaHei"/>
    </font>
    <font>
      <name val="等线"/>
      <charset val="134"/>
      <color rgb="FF175CEB"/>
      <sz val="10"/>
      <u/>
      <scheme val="minor"/>
    </font>
    <font>
      <name val="Segoe UI Symbol"/>
      <family val="2"/>
      <color rgb="FF000000"/>
      <sz val="10"/>
    </font>
    <font>
      <name val="Microsoft YaHei"/>
    </font>
    <font>
      <name val="Microsoft YaHei"/>
    </font>
  </fonts>
  <fills count="13">
    <fill>
      <patternFill patternType="none"/>
    </fill>
    <fill>
      <patternFill patternType="gray125"/>
    </fill>
    <fill>
      <patternFill patternType="none"/>
    </fill>
    <fill>
      <patternFill patternType="solid">
        <fgColor rgb="FFFFFF00"/>
      </patternFill>
    </fill>
    <fill/>
    <fill/>
    <fill>
      <patternFill patternType="solid">
        <fgColor rgb="FF98D7B6"/>
      </patternFill>
    </fill>
    <fill>
      <patternFill patternType="solid">
        <fgColor rgb="FF277C4F"/>
      </patternFill>
    </fill>
    <fill>
      <patternFill patternType="solid">
        <fgColor rgb="FFDE3C36"/>
      </patternFill>
    </fill>
    <fill>
      <patternFill patternType="solid">
        <fgColor rgb="FF319B62"/>
      </patternFill>
    </fill>
    <fill>
      <patternFill patternType="solid">
        <fgColor rgb="FFFFE270"/>
      </patternFill>
    </fill>
    <fill>
      <patternFill patternType="solid">
        <fgColor rgb="FF98D7B6"/>
      </patternFill>
    </fill>
    <fill>
      <patternFill patternType="solid">
        <fgColor rgb="FF277C4F"/>
      </patternFill>
    </fill>
  </fills>
  <borders count="2">
    <border>
      <left/>
      <right/>
      <top/>
      <bottom/>
      <diagonal/>
    </border>
    <border diagonalUp="true" diagonalDown="true">
      <left/>
      <right/>
      <top/>
      <bottom/>
      <diagonal/>
    </border>
  </borders>
  <cellStyleXfs>
    <xf fontId="4" fillId="0" borderId="0" xfId="0" applyNumberFormat="true" applyFont="true" applyFill="true" applyBorder="true" applyAlignment="true">
      <alignment vertical="center"/>
    </xf>
  </cellStyleXfs>
  <cellXfs count="3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vertical="center" textRotation="0" indent="0" justifyLastLine="false" shrinkToFit="false"/>
    </xf>
    <xf fontId="0" fillId="2" borderId="0" xfId="0">
      <alignment horizontal="left" vertical="center" textRotation="0" indent="0" justifyLastLine="false" shrinkToFit="false"/>
    </xf>
    <xf numFmtId="300" fontId="0" fillId="3" borderId="0" xfId="0">
      <alignment horizontal="left" vertical="center" textRotation="0" indent="0" justifyLastLine="false" shrinkToFit="false"/>
    </xf>
    <xf fontId="0" fillId="3" borderId="0" xfId="0">
      <alignment horizontal="left" vertical="center" textRotation="0" indent="0" justifyLastLine="false" shrinkToFit="false"/>
    </xf>
    <xf fontId="0" fillId="3" borderId="0" xfId="0">
      <alignment vertical="center" textRotation="0" indent="0" justifyLastLine="false" shrinkToFit="false"/>
    </xf>
    <xf fontId="0" fillId="3" borderId="0" xfId="0">
      <alignment vertical="center"/>
    </xf>
    <xf fontId="3" fillId="4" borderId="1" xfId="0">
      <alignment vertical="center"/>
    </xf>
    <xf fontId="3" fillId="5" borderId="1" xfId="0">
      <alignment vertical="center"/>
    </xf>
    <xf numFmtId="300" fontId="0" fillId="0" borderId="0" xfId="0">
      <alignment horizontal="left" vertical="center" textRotation="0" indent="0" justifyLastLine="false" shrinkToFit="false"/>
    </xf>
    <xf fontId="0" fillId="0" borderId="0" xfId="0">
      <alignment horizontal="left" vertical="center" textRotation="0" indent="0" justifyLastLine="false" shrinkToFit="false"/>
    </xf>
    <xf fontId="0" fillId="0" borderId="0" xfId="0">
      <alignment vertical="center"/>
    </xf>
    <xf fontId="0" fillId="6" borderId="0" xfId="0">
      <alignment vertical="center"/>
    </xf>
    <xf fontId="0" fillId="2" borderId="0" xfId="0">
      <alignment vertical="center"/>
    </xf>
    <xf fontId="3" fillId="3" borderId="1" xfId="0">
      <alignment vertical="center"/>
    </xf>
    <xf fontId="3" fillId="6" borderId="1" xfId="0">
      <alignment vertical="center"/>
    </xf>
    <xf fontId="0" fillId="6" borderId="0" xfId="0">
      <alignment vertical="center" textRotation="0" indent="0" justifyLastLine="false" shrinkToFit="false"/>
    </xf>
    <xf numFmtId="300" fontId="0" fillId="6" borderId="0" xfId="0">
      <alignment horizontal="left" vertical="center" textRotation="0" indent="0" justifyLastLine="false" shrinkToFit="false"/>
    </xf>
    <xf fontId="0" fillId="6" borderId="0" xfId="0">
      <alignment horizontal="left" vertical="center" textRotation="0" indent="0" justifyLastLine="false" shrinkToFit="false"/>
    </xf>
    <xf fontId="0" fillId="6" borderId="0" xfId="0">
      <alignment vertical="center"/>
    </xf>
    <xf numFmtId="300" fontId="0" fillId="7" borderId="0" xfId="0">
      <alignment horizontal="left" vertical="center" textRotation="0" indent="0" justifyLastLine="false" shrinkToFit="false"/>
    </xf>
    <xf fontId="0" fillId="7" borderId="0" xfId="0">
      <alignment horizontal="left" vertical="center" textRotation="0" indent="0" justifyLastLine="false" shrinkToFit="false"/>
    </xf>
    <xf fontId="0" fillId="7" borderId="0" xfId="0">
      <alignment vertical="center" textRotation="0" indent="0" justifyLastLine="false" shrinkToFit="false"/>
    </xf>
    <xf fontId="0" fillId="7" borderId="0" xfId="0">
      <alignment vertical="center"/>
    </xf>
    <xf fontId="3" fillId="7" borderId="1" xfId="0">
      <alignment vertical="center"/>
    </xf>
    <xf fontId="0" fillId="8" borderId="0" xfId="0">
      <alignment vertical="center"/>
    </xf>
    <xf fontId="0" fillId="7" borderId="0" xfId="0">
      <alignment vertical="center"/>
    </xf>
    <xf fontId="0" fillId="9" borderId="0" xfId="0">
      <alignment vertical="center"/>
    </xf>
    <xf fontId="4" fillId="4" borderId="1" xfId="0">
      <alignment vertical="center"/>
    </xf>
    <xf fontId="3" fillId="8" borderId="1" xfId="0">
      <alignment vertical="center"/>
    </xf>
    <xf fontId="0" fillId="10" borderId="0" xfId="0">
      <alignment vertical="center"/>
    </xf>
    <xf fontId="0" fillId="3" borderId="0" xfId="0">
      <alignment vertical="center"/>
    </xf>
    <xf fontId="0" fillId="11" borderId="0" xfId="0">
      <alignment vertical="center"/>
    </xf>
    <xf fontId="0" fillId="12"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7" Type="http://schemas.openxmlformats.org/officeDocument/2006/relationships/hyperlink" Target="https://wj-collection-1258344706.cos.ap-guangzhou.myqcloud.com/formal/25118307/q-11-ZXt3/25118307_0_8f4c237d2363cd6b45eb860b3867660d.jpg?q-sign-algorithm=sha1&amp;q-ak=AKID3dz5uN4cMpGamjMvBaySkOoxwmMgMacO&amp;q-sign-time=1768053978%3B1768658778&amp;q-key-time=1768053978%3B1768658778&amp;q-header-list=host&amp;q-url-param-list=&amp;q-signature=f4a7a3df189168d448cd53d183b775690fa937f7" TargetMode="External"/><Relationship Id="rId65" Type="http://schemas.openxmlformats.org/officeDocument/2006/relationships/hyperlink" Target="https://wj-collection-1258344706.cos.ap-guangzhou.myqcloud.com/formal/25118307/q-11-ZXt3/25118307_0_c1178c83cc21a752bcc7e1c8fd220733.jpg?q-sign-algorithm=sha1&amp;q-ak=AKID3dz5uN4cMpGamjMvBaySkOoxwmMgMacO&amp;q-sign-time=1768053978%3B1768658778&amp;q-key-time=1768053978%3B1768658778&amp;q-header-list=host&amp;q-url-param-list=&amp;q-signature=e90c2ecfe931f23f0fe2af5c40083286f0d316a1" TargetMode="External"/><Relationship Id="rId64" Type="http://schemas.openxmlformats.org/officeDocument/2006/relationships/hyperlink" Target="https://wj-collection-1258344706.cos.ap-guangzhou.myqcloud.com/formal/25118307/q-11-ZXt3/25118307_0_af61ca2cf5e4840e1ed8069f0ae48a9b.jpeg?q-sign-algorithm=sha1&amp;q-ak=AKID3dz5uN4cMpGamjMvBaySkOoxwmMgMacO&amp;q-sign-time=1768053978%3B1768658778&amp;q-key-time=1768053978%3B1768658778&amp;q-header-list=host&amp;q-url-param-list=&amp;q-signature=5de0070fb3388580e6730b5f3b7360021eea7931" TargetMode="External"/><Relationship Id="rId63" Type="http://schemas.openxmlformats.org/officeDocument/2006/relationships/hyperlink" Target="https://wj-collection-1258344706.cos.ap-guangzhou.myqcloud.com/formal/25118307/q-11-ZXt3/25118307_0_6ec249783ef932660ed77176f097e990.jpeg?q-sign-algorithm=sha1&amp;q-ak=AKID3dz5uN4cMpGamjMvBaySkOoxwmMgMacO&amp;q-sign-time=1768053978%3B1768658778&amp;q-key-time=1768053978%3B1768658778&amp;q-header-list=host&amp;q-url-param-list=&amp;q-signature=ac80d7a0d80436f3795eb472aa45b567876affff" TargetMode="External"/><Relationship Id="rId62" Type="http://schemas.openxmlformats.org/officeDocument/2006/relationships/hyperlink" Target="https://wj-collection-1258344706.cos.ap-guangzhou.myqcloud.com/formal/25118307/q-11-ZXt3/25118307_0_a22afc0adbb8fadfc1a3b4c0c094117f.jpeg?q-sign-algorithm=sha1&amp;q-ak=AKID3dz5uN4cMpGamjMvBaySkOoxwmMgMacO&amp;q-sign-time=1768053978%3B1768658778&amp;q-key-time=1768053978%3B1768658778&amp;q-header-list=host&amp;q-url-param-list=&amp;q-signature=7bbb83866d83de54de31cd5ee44035057851eabc" TargetMode="External"/><Relationship Id="rId49" Type="http://schemas.openxmlformats.org/officeDocument/2006/relationships/hyperlink" Target="https://wj-collection-1258344706.cos.ap-guangzhou.myqcloud.com/formal/25118307/q-11-ZXt3/25118307_0_41ab14f48316dd8cb971f2d7a6597135.docx?q-sign-algorithm=sha1&amp;q-ak=AKID3dz5uN4cMpGamjMvBaySkOoxwmMgMacO&amp;q-sign-time=1768053978%3B1768658778&amp;q-key-time=1768053978%3B1768658778&amp;q-header-list=host&amp;q-url-param-list=&amp;q-signature=467a3d8693bfbc5a217aab2a4501d64031793c4c" TargetMode="External"/><Relationship Id="rId48" Type="http://schemas.openxmlformats.org/officeDocument/2006/relationships/hyperlink" Target="https://wj-collection-1258344706.cos.ap-guangzhou.myqcloud.com/formal/25118307/q-11-ZXt3/25118307_0_79ce211a6ced081b44d2a8247f352671.txt?q-sign-algorithm=sha1&amp;q-ak=AKID3dz5uN4cMpGamjMvBaySkOoxwmMgMacO&amp;q-sign-time=1768053978%3B1768658778&amp;q-key-time=1768053978%3B1768658778&amp;q-header-list=host&amp;q-url-param-list=&amp;q-signature=b96bb427643211e0806f6841dffe8671605559ea" TargetMode="External"/><Relationship Id="rId47" Type="http://schemas.openxmlformats.org/officeDocument/2006/relationships/hyperlink" Target="https://wj-collection-1258344706.cos.ap-guangzhou.myqcloud.com/formal/25118307/q-11-ZXt3/25118307_0_d643a2f2d056ebb02d1cb9e6c76bce56.jpg?q-sign-algorithm=sha1&amp;q-ak=AKID3dz5uN4cMpGamjMvBaySkOoxwmMgMacO&amp;q-sign-time=1768053978%3B1768658778&amp;q-key-time=1768053978%3B1768658778&amp;q-header-list=host&amp;q-url-param-list=&amp;q-signature=df966aa99d4795402e556a81d93e0c5feb9c055e" TargetMode="External"/><Relationship Id="rId43" Type="http://schemas.openxmlformats.org/officeDocument/2006/relationships/hyperlink" Target="https://wj-collection-1258344706.cos.ap-guangzhou.myqcloud.com/formal/25118307/q-11-ZXt3/25118307_0_91dbba8766e3688db2f3be46dcd3b166.jpg?q-sign-algorithm=sha1&amp;q-ak=AKID3dz5uN4cMpGamjMvBaySkOoxwmMgMacO&amp;q-sign-time=1768053978%3B1768658778&amp;q-key-time=1768053978%3B1768658778&amp;q-header-list=host&amp;q-url-param-list=&amp;q-signature=d7843b7cfdd412f4d79d0cc5796ea7fd618d6670" TargetMode="External"/><Relationship Id="rId42" Type="http://schemas.openxmlformats.org/officeDocument/2006/relationships/hyperlink" Target="https://wj-collection-1258344706.cos.ap-guangzhou.myqcloud.com/formal/25118307/q-11-ZXt3/25118307_0_d3f308d3edc665270a9a6abd9bcb9b88.jpg?q-sign-algorithm=sha1&amp;q-ak=AKID3dz5uN4cMpGamjMvBaySkOoxwmMgMacO&amp;q-sign-time=1768053978%3B1768658778&amp;q-key-time=1768053978%3B1768658778&amp;q-header-list=host&amp;q-url-param-list=&amp;q-signature=adbf57bb43475b3c52446270f2e5114979a8433f" TargetMode="External"/><Relationship Id="rId14" Type="http://schemas.openxmlformats.org/officeDocument/2006/relationships/hyperlink" Target="https://wj-collection-1258344706.cos.ap-guangzhou.myqcloud.com/formal/25118307/q-11-ZXt3/25118307_0_f048f38c3970d8e898672f65495e19b8.jpg?q-sign-algorithm=sha1&amp;q-ak=AKID3dz5uN4cMpGamjMvBaySkOoxwmMgMacO&amp;q-sign-time=1768053978%3B1768658778&amp;q-key-time=1768053978%3B1768658778&amp;q-header-list=host&amp;q-url-param-list=&amp;q-signature=594c21da8f277e9e55f4374e0bd1679365fe3047" TargetMode="External"/><Relationship Id="rId46" Type="http://schemas.openxmlformats.org/officeDocument/2006/relationships/hyperlink" Target="https://wj-collection-1258344706.cos.ap-guangzhou.myqcloud.com/formal/25118307/q-11-ZXt3/25118307_0_1cac231f49ec1e0a449cacd1516490a8.jpg?q-sign-algorithm=sha1&amp;q-ak=AKID3dz5uN4cMpGamjMvBaySkOoxwmMgMacO&amp;q-sign-time=1768053978%3B1768658778&amp;q-key-time=1768053978%3B1768658778&amp;q-header-list=host&amp;q-url-param-list=&amp;q-signature=a59986eb4f151a95c4e8697587831c6857c8799e" TargetMode="External"/><Relationship Id="rId15" Type="http://schemas.openxmlformats.org/officeDocument/2006/relationships/hyperlink" Target="https://wj-collection-1258344706.cos.ap-guangzhou.myqcloud.com/formal/25118307/q-11-ZXt3/25118307_0_e2a0d0ea4ba939b6abe1cb48299ca717.jpg?q-sign-algorithm=sha1&amp;q-ak=AKID3dz5uN4cMpGamjMvBaySkOoxwmMgMacO&amp;q-sign-time=1768053978%3B1768658778&amp;q-key-time=1768053978%3B1768658778&amp;q-header-list=host&amp;q-url-param-list=&amp;q-signature=571193acbe35f9124810a10ec163ae3ba5372126" TargetMode="External"/><Relationship Id="rId56" Type="http://schemas.openxmlformats.org/officeDocument/2006/relationships/hyperlink" Target="https://wj-collection-1258344706.cos.ap-guangzhou.myqcloud.com/formal/25118307/q-11-ZXt3/25118307_0_3a71b615eb3372cd12c6bcfb873e1c04.docx?q-sign-algorithm=sha1&amp;q-ak=AKID3dz5uN4cMpGamjMvBaySkOoxwmMgMacO&amp;q-sign-time=1768053978%3B1768658778&amp;q-key-time=1768053978%3B1768658778&amp;q-header-list=host&amp;q-url-param-list=&amp;q-signature=47cf1b11362e12aa8bd2822034627df0592acecf" TargetMode="External"/><Relationship Id="rId32" Type="http://schemas.openxmlformats.org/officeDocument/2006/relationships/hyperlink" Target="https://wj-collection-1258344706.cos.ap-guangzhou.myqcloud.com/formal/25118307/q-11-ZXt3/25118307_0_172990ddd493e79f3463e4b7659388de.jpg?q-sign-algorithm=sha1&amp;q-ak=AKID3dz5uN4cMpGamjMvBaySkOoxwmMgMacO&amp;q-sign-time=1768053978%3B1768658778&amp;q-key-time=1768053978%3B1768658778&amp;q-header-list=host&amp;q-url-param-list=&amp;q-signature=63ec1f0d0332ad017f359a0934149757d3394dc7" TargetMode="External"/><Relationship Id="rId17" Type="http://schemas.openxmlformats.org/officeDocument/2006/relationships/hyperlink" Target="https://wj-collection-1258344706.cos.ap-guangzhou.myqcloud.com/formal/25118307/q-11-ZXt3/25118307_0_c01698004662988f71abf42de28ef4ac.jpg?q-sign-algorithm=sha1&amp;q-ak=AKID3dz5uN4cMpGamjMvBaySkOoxwmMgMacO&amp;q-sign-time=1768053978%3B1768658778&amp;q-key-time=1768053978%3B1768658778&amp;q-header-list=host&amp;q-url-param-list=&amp;q-signature=d56d651f574a38ebaf49df3014cedcd6051deb41" TargetMode="External"/><Relationship Id="rId41" Type="http://schemas.openxmlformats.org/officeDocument/2006/relationships/hyperlink" Target="https://wj-collection-1258344706.cos.ap-guangzhou.myqcloud.com/formal/25118307/q-11-ZXt3/25118307_0_b1aabf46c54c26a0cf497b8098dd1334.jpg?q-sign-algorithm=sha1&amp;q-ak=AKID3dz5uN4cMpGamjMvBaySkOoxwmMgMacO&amp;q-sign-time=1768053978%3B1768658778&amp;q-key-time=1768053978%3B1768658778&amp;q-header-list=host&amp;q-url-param-list=&amp;q-signature=f6a02cc4f970b081617b5f2a047eb8cd2e145c1f" TargetMode="External"/><Relationship Id="rId19" Type="http://schemas.openxmlformats.org/officeDocument/2006/relationships/hyperlink" Target="https://wj-collection-1258344706.cos.ap-guangzhou.myqcloud.com/formal/25118307/q-11-ZXt3/25118307_0_5c7b2af13f9d60034be9ca5ffa31ba50.jpg?q-sign-algorithm=sha1&amp;q-ak=AKID3dz5uN4cMpGamjMvBaySkOoxwmMgMacO&amp;q-sign-time=1768053978%3B1768658778&amp;q-key-time=1768053978%3B1768658778&amp;q-header-list=host&amp;q-url-param-list=&amp;q-signature=3cfa5d3251b8c607aea43afc3b4b2cb4e90bf2eb" TargetMode="External"/><Relationship Id="rId22" Type="http://schemas.openxmlformats.org/officeDocument/2006/relationships/hyperlink" Target="https://wj-collection-1258344706.cos.ap-guangzhou.myqcloud.com/formal/25118307/q-11-ZXt3/25118307_0_5169417e81dbda252b3baaa69304f0dc.jpg?q-sign-algorithm=sha1&amp;q-ak=AKID3dz5uN4cMpGamjMvBaySkOoxwmMgMacO&amp;q-sign-time=1768053978%3B1768658778&amp;q-key-time=1768053978%3B1768658778&amp;q-header-list=host&amp;q-url-param-list=&amp;q-signature=416d6c1faca8e94cc62b564b6735e48a1d31d62a" TargetMode="External"/><Relationship Id="rId16" Type="http://schemas.openxmlformats.org/officeDocument/2006/relationships/hyperlink" Target="https://wj-collection-1258344706.cos.ap-guangzhou.myqcloud.com/formal/25118307/q-11-ZXt3/25118307_0_f19807725ee708c261b69175de914e23.jpg?q-sign-algorithm=sha1&amp;q-ak=AKID3dz5uN4cMpGamjMvBaySkOoxwmMgMacO&amp;q-sign-time=1768053978%3B1768658778&amp;q-key-time=1768053978%3B1768658778&amp;q-header-list=host&amp;q-url-param-list=&amp;q-signature=d9d213a5c3d7aa6bb5bc0ca27bafd38c00fc0f4a" TargetMode="External"/><Relationship Id="rId2" Type="http://schemas.openxmlformats.org/officeDocument/2006/relationships/hyperlink" Target="https://wj-collection-1258344706.cos.ap-guangzhou.myqcloud.com/formal/25118307/q-11-ZXt3/25118307_0_ba9e5b22185a5831cc8a11bb6c4a3e9c.jpg?q-sign-algorithm=sha1&amp;q-ak=AKID3dz5uN4cMpGamjMvBaySkOoxwmMgMacO&amp;q-sign-time=1768053978%3B1768658778&amp;q-key-time=1768053978%3B1768658778&amp;q-header-list=host&amp;q-url-param-list=&amp;q-signature=895872a30265fecb7fcfc5f10d0f456ee314cf5c" TargetMode="External"/><Relationship Id="rId18" Type="http://schemas.openxmlformats.org/officeDocument/2006/relationships/hyperlink" Target="https://wj-collection-1258344706.cos.ap-guangzhou.myqcloud.com/formal/25118307/q-11-ZXt3/25118307_0_724ea528ee248e7e5fbf7c6931d5895e.jpg?q-sign-algorithm=sha1&amp;q-ak=AKID3dz5uN4cMpGamjMvBaySkOoxwmMgMacO&amp;q-sign-time=1768053978%3B1768658778&amp;q-key-time=1768053978%3B1768658778&amp;q-header-list=host&amp;q-url-param-list=&amp;q-signature=1dae1cbfd438cee08d876a09609903575328765e" TargetMode="External"/><Relationship Id="rId61" Type="http://schemas.openxmlformats.org/officeDocument/2006/relationships/hyperlink" Target="https://wj-collection-1258344706.cos.ap-guangzhou.myqcloud.com/formal/25118307/q-11-ZXt3/25118307_0_f9dc497c92d5cff742b6c38b9db27b0a.jpeg?q-sign-algorithm=sha1&amp;q-ak=AKID3dz5uN4cMpGamjMvBaySkOoxwmMgMacO&amp;q-sign-time=1768053978%3B1768658778&amp;q-key-time=1768053978%3B1768658778&amp;q-header-list=host&amp;q-url-param-list=&amp;q-signature=cccaf21cb6dc7d93ef9bd499e8dbbf4d0b564607" TargetMode="External"/><Relationship Id="rId1" Type="http://schemas.openxmlformats.org/officeDocument/2006/relationships/hyperlink" Target="https://wj-collection-1258344706.cos.ap-guangzhou.myqcloud.com/formal/25118307/q-11-ZXt3/25118307_0_2d3ae526b775f10baebc8ee7fc23f432.jpg?q-sign-algorithm=sha1&amp;q-ak=AKID3dz5uN4cMpGamjMvBaySkOoxwmMgMacO&amp;q-sign-time=1768053978%3B1768658778&amp;q-key-time=1768053978%3B1768658778&amp;q-header-list=host&amp;q-url-param-list=&amp;q-signature=a80e555e49cea293f3394aaeb8cb6a92f5a79f17" TargetMode="External"/><Relationship Id="rId21" Type="http://schemas.openxmlformats.org/officeDocument/2006/relationships/hyperlink" Target="https://wj-collection-1258344706.cos.ap-guangzhou.myqcloud.com/formal/25118307/q-11-ZXt3/25118307_0_1b635af9bf68e0849ffbb4e6fec300cc.jpg?q-sign-algorithm=sha1&amp;q-ak=AKID3dz5uN4cMpGamjMvBaySkOoxwmMgMacO&amp;q-sign-time=1768053978%3B1768658778&amp;q-key-time=1768053978%3B1768658778&amp;q-header-list=host&amp;q-url-param-list=&amp;q-signature=f5a7d6e9d2d2f5c36b4711de9ba98d589793ca6c" TargetMode="External"/><Relationship Id="rId20" Type="http://schemas.openxmlformats.org/officeDocument/2006/relationships/hyperlink" Target="https://wj-collection-1258344706.cos.ap-guangzhou.myqcloud.com/formal/25118307/q-11-ZXt3/25118307_0_c9a47f8deae5aa01fa5496fa36f2f236.jpg?q-sign-algorithm=sha1&amp;q-ak=AKID3dz5uN4cMpGamjMvBaySkOoxwmMgMacO&amp;q-sign-time=1768053978%3B1768658778&amp;q-key-time=1768053978%3B1768658778&amp;q-header-list=host&amp;q-url-param-list=&amp;q-signature=134ccf7066d7ca0290bf42e6885119b73e152bb8" TargetMode="External"/><Relationship Id="rId44" Type="http://schemas.openxmlformats.org/officeDocument/2006/relationships/hyperlink" Target="https://wj-collection-1258344706.cos.ap-guangzhou.myqcloud.com/formal/25118307/q-11-ZXt3/25118307_0_da4ab7c90beb61313a55b91cbf196edc.jpg?q-sign-algorithm=sha1&amp;q-ak=AKID3dz5uN4cMpGamjMvBaySkOoxwmMgMacO&amp;q-sign-time=1768053978%3B1768658778&amp;q-key-time=1768053978%3B1768658778&amp;q-header-list=host&amp;q-url-param-list=&amp;q-signature=f4a8c0d39917dd81784d03eb38db676eba9112c5" TargetMode="External"/><Relationship Id="rId0" Type="http://schemas.openxmlformats.org/officeDocument/2006/relationships/hyperlink" Target="https://wj-collection-1258344706.cos.ap-guangzhou.myqcloud.com/formal/25118307/q-11-ZXt3/25118307_0_07aaadb9d3a888bf725bc49983a3066f.jpg?q-sign-algorithm=sha1&amp;q-ak=AKID3dz5uN4cMpGamjMvBaySkOoxwmMgMacO&amp;q-sign-time=1768053978%3B1768658778&amp;q-key-time=1768053978%3B1768658778&amp;q-header-list=host&amp;q-url-param-list=&amp;q-signature=ea0dc5c40d2f18d8e5a568b4f92d3433771279ae" TargetMode="External"/><Relationship Id="rId10" Type="http://schemas.openxmlformats.org/officeDocument/2006/relationships/hyperlink" Target="https://wj-collection-1258344706.cos.ap-guangzhou.myqcloud.com/formal/25118307/q-11-ZXt3/25118307_0_9b7131a31390a2a2f7b1669ba07b9fb0.png?q-sign-algorithm=sha1&amp;q-ak=AKID3dz5uN4cMpGamjMvBaySkOoxwmMgMacO&amp;q-sign-time=1768053978%3B1768658778&amp;q-key-time=1768053978%3B1768658778&amp;q-header-list=host&amp;q-url-param-list=&amp;q-signature=52a8c8ae2d30944f0933d76e320e1431b513c93d" TargetMode="External"/><Relationship Id="rId55" Type="http://schemas.openxmlformats.org/officeDocument/2006/relationships/hyperlink" Target="https://wj-collection-1258344706.cos.ap-guangzhou.myqcloud.com/formal/25118307/q-11-ZXt3/25118307_0_f606e201bd423049ea4d5113b28aceeb.jpg?q-sign-algorithm=sha1&amp;q-ak=AKID3dz5uN4cMpGamjMvBaySkOoxwmMgMacO&amp;q-sign-time=1768053978%3B1768658778&amp;q-key-time=1768053978%3B1768658778&amp;q-header-list=host&amp;q-url-param-list=&amp;q-signature=1346a406b9138fdbce324f0f13e0b54a1141016a" TargetMode="External"/><Relationship Id="rId31" Type="http://schemas.openxmlformats.org/officeDocument/2006/relationships/hyperlink" Target="https://wj-collection-1258344706.cos.ap-guangzhou.myqcloud.com/formal/25118307/q-11-ZXt3/25118307_0_f87a5189d153024592f1db9af3792d0c.jpg?q-sign-algorithm=sha1&amp;q-ak=AKID3dz5uN4cMpGamjMvBaySkOoxwmMgMacO&amp;q-sign-time=1768053978%3B1768658778&amp;q-key-time=1768053978%3B1768658778&amp;q-header-list=host&amp;q-url-param-list=&amp;q-signature=f929a74aea0a2651e3ef2164162a31ab87b1b936" TargetMode="External"/><Relationship Id="rId11" Type="http://schemas.openxmlformats.org/officeDocument/2006/relationships/hyperlink" Target="https://wj-collection-1258344706.cos.ap-guangzhou.myqcloud.com/formal/25118307/q-11-ZXt3/25118307_0_586087869428990909d2949d39b37478.jpeg?q-sign-algorithm=sha1&amp;q-ak=AKID3dz5uN4cMpGamjMvBaySkOoxwmMgMacO&amp;q-sign-time=1768053978%3B1768658778&amp;q-key-time=1768053978%3B1768658778&amp;q-header-list=host&amp;q-url-param-list=&amp;q-signature=19c7fbc49f051451d46e48178de28971681d19f9" TargetMode="External"/><Relationship Id="rId24" Type="http://schemas.openxmlformats.org/officeDocument/2006/relationships/hyperlink" Target="https://wj-collection-1258344706.cos.ap-guangzhou.myqcloud.com/formal/25118307/q-11-ZXt3/25118307_0_44b64d131780391714b9270c553145cb.jpg?q-sign-algorithm=sha1&amp;q-ak=AKID3dz5uN4cMpGamjMvBaySkOoxwmMgMacO&amp;q-sign-time=1768053978%3B1768658778&amp;q-key-time=1768053978%3B1768658778&amp;q-header-list=host&amp;q-url-param-list=&amp;q-signature=f7150bcc6ba7d283c4ac464a6816d716afe225b9" TargetMode="External"/><Relationship Id="rId4" Type="http://schemas.openxmlformats.org/officeDocument/2006/relationships/hyperlink" Target="https://wj-collection-1258344706.cos.ap-guangzhou.myqcloud.com/formal/25118307/q-11-ZXt3/25118307_0_be23840c33039f370c3bb9b3a2695405.jpg?q-sign-algorithm=sha1&amp;q-ak=AKID3dz5uN4cMpGamjMvBaySkOoxwmMgMacO&amp;q-sign-time=1768053978%3B1768658778&amp;q-key-time=1768053978%3B1768658778&amp;q-header-list=host&amp;q-url-param-list=&amp;q-signature=0bc929d868ad0f1457a4b858b7ba5c66a2bcf5d0" TargetMode="External"/><Relationship Id="rId12" Type="http://schemas.openxmlformats.org/officeDocument/2006/relationships/hyperlink" Target="https://wj-collection-1258344706.cos.ap-guangzhou.myqcloud.com/formal/25118307/q-11-ZXt3/25118307_0_063e27ec7fd275443291e13f3aa124c9.docx?q-sign-algorithm=sha1&amp;q-ak=AKID3dz5uN4cMpGamjMvBaySkOoxwmMgMacO&amp;q-sign-time=1768053978%3B1768658778&amp;q-key-time=1768053978%3B1768658778&amp;q-header-list=host&amp;q-url-param-list=&amp;q-signature=45cdf46571c19149b95db1aa599405afc9b042ab" TargetMode="External"/><Relationship Id="rId59" Type="http://schemas.openxmlformats.org/officeDocument/2006/relationships/hyperlink" Target="https://wj-collection-1258344706.cos.ap-guangzhou.myqcloud.com/formal/25118307/q-2-OzFx/25118307_0_629a14e7555941f6c1aa73d41f838ce9.doc?q-sign-algorithm=sha1&amp;q-ak=AKID3dz5uN4cMpGamjMvBaySkOoxwmMgMacO&amp;q-sign-time=1768053978%3B1768658778&amp;q-key-time=1768053978%3B1768658778&amp;q-header-list=host&amp;q-url-param-list=&amp;q-signature=fbe1cf61372b0f81e00d2bd2ba52bf3fc20086d2" TargetMode="External"/><Relationship Id="rId35" Type="http://schemas.openxmlformats.org/officeDocument/2006/relationships/hyperlink" Target="https://wj-collection-1258344706.cos.ap-guangzhou.myqcloud.com/formal/25118307/q-11-ZXt3/25118307_0_a1a4246b473e9c98be4d982aedcbd654.jpeg?q-sign-algorithm=sha1&amp;q-ak=AKID3dz5uN4cMpGamjMvBaySkOoxwmMgMacO&amp;q-sign-time=1768053978%3B1768658778&amp;q-key-time=1768053978%3B1768658778&amp;q-header-list=host&amp;q-url-param-list=&amp;q-signature=de243c9d2cded7c6963df28f5e13242486b87203" TargetMode="External"/><Relationship Id="rId40" Type="http://schemas.openxmlformats.org/officeDocument/2006/relationships/hyperlink" Target="https://wj-collection-1258344706.cos.ap-guangzhou.myqcloud.com/formal/25118307/q-11-ZXt3/25118307_0_53c8c9441ff0d7467e74096bded3bf2a.jpg?q-sign-algorithm=sha1&amp;q-ak=AKID3dz5uN4cMpGamjMvBaySkOoxwmMgMacO&amp;q-sign-time=1768053978%3B1768658778&amp;q-key-time=1768053978%3B1768658778&amp;q-header-list=host&amp;q-url-param-list=&amp;q-signature=c856e11c6235fc76cc15febfee1ca4dd6efa608e" TargetMode="External"/><Relationship Id="rId45" Type="http://schemas.openxmlformats.org/officeDocument/2006/relationships/hyperlink" Target="https://wj-collection-1258344706.cos.ap-guangzhou.myqcloud.com/formal/25118307/q-11-ZXt3/25118307_0_8200895949be16827ef624476f5af839.jpg?q-sign-algorithm=sha1&amp;q-ak=AKID3dz5uN4cMpGamjMvBaySkOoxwmMgMacO&amp;q-sign-time=1768053978%3B1768658778&amp;q-key-time=1768053978%3B1768658778&amp;q-header-list=host&amp;q-url-param-list=&amp;q-signature=bb0f3c7de6d0ad11f925192bacdefe5915a819ce" TargetMode="External"/><Relationship Id="rId25" Type="http://schemas.openxmlformats.org/officeDocument/2006/relationships/hyperlink" Target="https://wj-collection-1258344706.cos.ap-guangzhou.myqcloud.com/formal/25118307/q-11-ZXt3/25118307_0_58f2af7587cebe8ff9e6d814b215c03b.jpg?q-sign-algorithm=sha1&amp;q-ak=AKID3dz5uN4cMpGamjMvBaySkOoxwmMgMacO&amp;q-sign-time=1768053978%3B1768658778&amp;q-key-time=1768053978%3B1768658778&amp;q-header-list=host&amp;q-url-param-list=&amp;q-signature=9571bc03a0c065216167e69f2682639bbbbf8efc" TargetMode="External"/><Relationship Id="rId5" Type="http://schemas.openxmlformats.org/officeDocument/2006/relationships/hyperlink" Target="https://wj-collection-1258344706.cos.ap-guangzhou.myqcloud.com/formal/25118307/q-11-ZXt3/25118307_0_ccc38e4fa37a62b2bddde197a2705ed0.jpg?q-sign-algorithm=sha1&amp;q-ak=AKID3dz5uN4cMpGamjMvBaySkOoxwmMgMacO&amp;q-sign-time=1768053978%3B1768658778&amp;q-key-time=1768053978%3B1768658778&amp;q-header-list=host&amp;q-url-param-list=&amp;q-signature=39c1c16ef1edb6b843e7deb6666e37762a3324ec" TargetMode="External"/><Relationship Id="rId38" Type="http://schemas.openxmlformats.org/officeDocument/2006/relationships/hyperlink" Target="https://wj-collection-1258344706.cos.ap-guangzhou.myqcloud.com/formal/25118307/q-11-ZXt3/25118307_0_d3798301d52cf1051ef338250adaa5bf.jpeg?q-sign-algorithm=sha1&amp;q-ak=AKID3dz5uN4cMpGamjMvBaySkOoxwmMgMacO&amp;q-sign-time=1768053978%3B1768658778&amp;q-key-time=1768053978%3B1768658778&amp;q-header-list=host&amp;q-url-param-list=&amp;q-signature=19143a14e4dddfb5d57f54a4fe12356eb9d7de97" TargetMode="External"/><Relationship Id="rId58" Type="http://schemas.openxmlformats.org/officeDocument/2006/relationships/hyperlink" Target="https://wj-collection-1258344706.cos.ap-guangzhou.myqcloud.com/formal/25118307/q-11-ZXt3/25118307_0_3f9cfc7359d057a80e8d05f5d35366fe.jpg?q-sign-algorithm=sha1&amp;q-ak=AKID3dz5uN4cMpGamjMvBaySkOoxwmMgMacO&amp;q-sign-time=1768053978%3B1768658778&amp;q-key-time=1768053978%3B1768658778&amp;q-header-list=host&amp;q-url-param-list=&amp;q-signature=e7bd2a7f2bff6eec108ce5d56ec1837e5b6017dc" TargetMode="External"/><Relationship Id="rId34" Type="http://schemas.openxmlformats.org/officeDocument/2006/relationships/hyperlink" Target="https://wj-collection-1258344706.cos.ap-guangzhou.myqcloud.com/formal/25118307/q-11-ZXt3/25118307_0_4e4e19a6362458f24ff3ce4562287803.jpg?q-sign-algorithm=sha1&amp;q-ak=AKID3dz5uN4cMpGamjMvBaySkOoxwmMgMacO&amp;q-sign-time=1768053978%3B1768658778&amp;q-key-time=1768053978%3B1768658778&amp;q-header-list=host&amp;q-url-param-list=&amp;q-signature=ef6f69776e03c11ecc0e9a87a6f35e9735867040" TargetMode="External"/><Relationship Id="rId26" Type="http://schemas.openxmlformats.org/officeDocument/2006/relationships/hyperlink" Target="https://wj-collection-1258344706.cos.ap-guangzhou.myqcloud.com/formal/25118307/q-11-ZXt3/25118307_0_d5ca121d0bcf082bced98b3ef99ef92e.jpg?q-sign-algorithm=sha1&amp;q-ak=AKID3dz5uN4cMpGamjMvBaySkOoxwmMgMacO&amp;q-sign-time=1768053978%3B1768658778&amp;q-key-time=1768053978%3B1768658778&amp;q-header-list=host&amp;q-url-param-list=&amp;q-signature=aff63f406b1eca1712ffd64fbc55ad0b0956bfa5" TargetMode="External"/><Relationship Id="rId9" Type="http://schemas.openxmlformats.org/officeDocument/2006/relationships/hyperlink" Target="https://wj-collection-1258344706.cos.ap-guangzhou.myqcloud.com/formal/25118307/q-11-ZXt3/25118307_0_45f374cd5552b86bf43bfdbe0e2c1f75.png?q-sign-algorithm=sha1&amp;q-ak=AKID3dz5uN4cMpGamjMvBaySkOoxwmMgMacO&amp;q-sign-time=1768053978%3B1768658778&amp;q-key-time=1768053978%3B1768658778&amp;q-header-list=host&amp;q-url-param-list=&amp;q-signature=4fabf381f76bbf3d11f25730f285ec935c0f1617" TargetMode="External"/><Relationship Id="rId53" Type="http://schemas.openxmlformats.org/officeDocument/2006/relationships/hyperlink" Target="https://wj-collection-1258344706.cos.ap-guangzhou.myqcloud.com/formal/25118307/q-11-ZXt3/25118307_0_4e2da202e47cecda409c093bc36d23ad.jpg?q-sign-algorithm=sha1&amp;q-ak=AKID3dz5uN4cMpGamjMvBaySkOoxwmMgMacO&amp;q-sign-time=1768053978%3B1768658778&amp;q-key-time=1768053978%3B1768658778&amp;q-header-list=host&amp;q-url-param-list=&amp;q-signature=2ed77ab98c0a5e40d0068db014694baa81bef677" TargetMode="External"/><Relationship Id="rId13" Type="http://schemas.openxmlformats.org/officeDocument/2006/relationships/hyperlink" Target="https://wj-collection-1258344706.cos.ap-guangzhou.myqcloud.com/formal/25118307/q-11-ZXt3/25118307_0_7df41194ccd58d5e88c09b898b756c5a.png?q-sign-algorithm=sha1&amp;q-ak=AKID3dz5uN4cMpGamjMvBaySkOoxwmMgMacO&amp;q-sign-time=1768053978%3B1768658778&amp;q-key-time=1768053978%3B1768658778&amp;q-header-list=host&amp;q-url-param-list=&amp;q-signature=a8b3449aa199347813cc121242aa707b52bb8f30" TargetMode="External"/><Relationship Id="rId3" Type="http://schemas.openxmlformats.org/officeDocument/2006/relationships/hyperlink" Target="https://wj-collection-1258344706.cos.ap-guangzhou.myqcloud.com/formal/25118307/q-11-ZXt3/25118307_0_c123b5f0e20f3ea597322bad2192bc62.jpg?q-sign-algorithm=sha1&amp;q-ak=AKID3dz5uN4cMpGamjMvBaySkOoxwmMgMacO&amp;q-sign-time=1768053978%3B1768658778&amp;q-key-time=1768053978%3B1768658778&amp;q-header-list=host&amp;q-url-param-list=&amp;q-signature=25f7aba94e953738127c2095438b49365448bffa" TargetMode="External"/><Relationship Id="rId8" Type="http://schemas.openxmlformats.org/officeDocument/2006/relationships/hyperlink" Target="https://wj-collection-1258344706.cos.ap-guangzhou.myqcloud.com/formal/25118307/q-11-ZXt3/25118307_0_07b7dd991dc1d7dc1980f90f64041d3e.jpg?q-sign-algorithm=sha1&amp;q-ak=AKID3dz5uN4cMpGamjMvBaySkOoxwmMgMacO&amp;q-sign-time=1768053978%3B1768658778&amp;q-key-time=1768053978%3B1768658778&amp;q-header-list=host&amp;q-url-param-list=&amp;q-signature=f071fca20a45199eae070bffbac9096ca25ac555" TargetMode="External"/><Relationship Id="rId50" Type="http://schemas.openxmlformats.org/officeDocument/2006/relationships/hyperlink" Target="https://wj-collection-1258344706.cos.ap-guangzhou.myqcloud.com/formal/25118307/q-11-ZXt3/25118307_0_cbd7812fd2854f7e4b1cf868f52eb8db.zip?q-sign-algorithm=sha1&amp;q-ak=AKID3dz5uN4cMpGamjMvBaySkOoxwmMgMacO&amp;q-sign-time=1768053978%3B1768658778&amp;q-key-time=1768053978%3B1768658778&amp;q-header-list=host&amp;q-url-param-list=&amp;q-signature=abbce5dcfa90906c20ae0848759b15fdb62b49c3" TargetMode="External"/><Relationship Id="rId27" Type="http://schemas.openxmlformats.org/officeDocument/2006/relationships/hyperlink" Target="https://wj-collection-1258344706.cos.ap-guangzhou.myqcloud.com/formal/25118307/q-11-ZXt3/25118307_0_176ab23ff11505fae25a52aeb2aa8f1e.jpg?q-sign-algorithm=sha1&amp;q-ak=AKID3dz5uN4cMpGamjMvBaySkOoxwmMgMacO&amp;q-sign-time=1768053978%3B1768658778&amp;q-key-time=1768053978%3B1768658778&amp;q-header-list=host&amp;q-url-param-list=&amp;q-signature=86f209126a98c899023c32a565b4a4a74be0f687" TargetMode="External"/><Relationship Id="rId51" Type="http://schemas.openxmlformats.org/officeDocument/2006/relationships/hyperlink" Target="https://wj-collection-1258344706.cos.ap-guangzhou.myqcloud.com/formal/25118307/q-11-ZXt3/25118307_0_417f4049a583dee99e082f55e5cd20b9.jpg?q-sign-algorithm=sha1&amp;q-ak=AKID3dz5uN4cMpGamjMvBaySkOoxwmMgMacO&amp;q-sign-time=1768053978%3B1768658778&amp;q-key-time=1768053978%3B1768658778&amp;q-header-list=host&amp;q-url-param-list=&amp;q-signature=6690abfd0408399a6a823369b176c2529a082477" TargetMode="External"/><Relationship Id="rId28" Type="http://schemas.openxmlformats.org/officeDocument/2006/relationships/hyperlink" Target="https://wj-collection-1258344706.cos.ap-guangzhou.myqcloud.com/formal/25118307/q-11-ZXt3/25118307_0_83202153373636206df0ee69f2253b26.jpg?q-sign-algorithm=sha1&amp;q-ak=AKID3dz5uN4cMpGamjMvBaySkOoxwmMgMacO&amp;q-sign-time=1768053978%3B1768658778&amp;q-key-time=1768053978%3B1768658778&amp;q-header-list=host&amp;q-url-param-list=&amp;q-signature=2a5711183f37b342dbb535a9bb92c35fb85a7208" TargetMode="External"/><Relationship Id="rId52" Type="http://schemas.openxmlformats.org/officeDocument/2006/relationships/hyperlink" Target="https://wj-collection-1258344706.cos.ap-guangzhou.myqcloud.com/formal/25118307/q-11-ZXt3/25118307_0_d6a401a56cdfea2bada6143a9f7d1fcb.jpg?q-sign-algorithm=sha1&amp;q-ak=AKID3dz5uN4cMpGamjMvBaySkOoxwmMgMacO&amp;q-sign-time=1768053978%3B1768658778&amp;q-key-time=1768053978%3B1768658778&amp;q-header-list=host&amp;q-url-param-list=&amp;q-signature=48a8dafef221f228e7c3929524521c6add248b62" TargetMode="External"/><Relationship Id="rId23" Type="http://schemas.openxmlformats.org/officeDocument/2006/relationships/hyperlink" Target="https://wj-collection-1258344706.cos.ap-guangzhou.myqcloud.com/formal/25118307/q-11-ZXt3/25118307_0_e68ae1704a1a95e973218f68561ccf53.docx?q-sign-algorithm=sha1&amp;q-ak=AKID3dz5uN4cMpGamjMvBaySkOoxwmMgMacO&amp;q-sign-time=1768053978%3B1768658778&amp;q-key-time=1768053978%3B1768658778&amp;q-header-list=host&amp;q-url-param-list=&amp;q-signature=618b47106ac4e53daa335288c5c8058dd763a12d" TargetMode="External"/><Relationship Id="rId39" Type="http://schemas.openxmlformats.org/officeDocument/2006/relationships/hyperlink" Target="https://wj-collection-1258344706.cos.ap-guangzhou.myqcloud.com/formal/25118307/q-11-ZXt3/25118307_0_852c7f1b58d7ee4d50689ec9284b03fa.jpg?q-sign-algorithm=sha1&amp;q-ak=AKID3dz5uN4cMpGamjMvBaySkOoxwmMgMacO&amp;q-sign-time=1768053978%3B1768658778&amp;q-key-time=1768053978%3B1768658778&amp;q-header-list=host&amp;q-url-param-list=&amp;q-signature=92950939b19df2b45537cabc0126a68fb3665b26" TargetMode="External"/><Relationship Id="rId29" Type="http://schemas.openxmlformats.org/officeDocument/2006/relationships/hyperlink" Target="https://wj-collection-1258344706.cos.ap-guangzhou.myqcloud.com/formal/25118307/q-11-ZXt3/25118307_0_c00cbfe04a4a5ff4454931185b4ad4dd.jpg?q-sign-algorithm=sha1&amp;q-ak=AKID3dz5uN4cMpGamjMvBaySkOoxwmMgMacO&amp;q-sign-time=1768053978%3B1768658778&amp;q-key-time=1768053978%3B1768658778&amp;q-header-list=host&amp;q-url-param-list=&amp;q-signature=4773cd9e5612d0a99bf4abf8269cab29ae9998c7" TargetMode="External"/><Relationship Id="rId54" Type="http://schemas.openxmlformats.org/officeDocument/2006/relationships/hyperlink" Target="https://wj-collection-1258344706.cos.ap-guangzhou.myqcloud.com/formal/25118307/q-11-ZXt3/25118307_0_c35e691e850d36e7c5f3ff2f78b7093e.jpg?q-sign-algorithm=sha1&amp;q-ak=AKID3dz5uN4cMpGamjMvBaySkOoxwmMgMacO&amp;q-sign-time=1768053978%3B1768658778&amp;q-key-time=1768053978%3B1768658778&amp;q-header-list=host&amp;q-url-param-list=&amp;q-signature=3ea0180f840c947614a6a43bf90b630c6967bc8d" TargetMode="External"/><Relationship Id="rId30" Type="http://schemas.openxmlformats.org/officeDocument/2006/relationships/hyperlink" Target="https://wj-collection-1258344706.cos.ap-guangzhou.myqcloud.com/formal/25118307/q-11-ZXt3/25118307_0_d6ba4b1892b726205f2daab67e92b65f.jpg?q-sign-algorithm=sha1&amp;q-ak=AKID3dz5uN4cMpGamjMvBaySkOoxwmMgMacO&amp;q-sign-time=1768053978%3B1768658778&amp;q-key-time=1768053978%3B1768658778&amp;q-header-list=host&amp;q-url-param-list=&amp;q-signature=6e17702c278256aeaa8318c803ecac1326d5a0d9" TargetMode="External"/><Relationship Id="rId57" Type="http://schemas.openxmlformats.org/officeDocument/2006/relationships/hyperlink" Target="https://wj-collection-1258344706.cos.ap-guangzhou.myqcloud.com/formal/25118307/q-11-ZXt3/25118307_0_3f913b06bf6cef48227ff6e0cd16d64d.docx?q-sign-algorithm=sha1&amp;q-ak=AKID3dz5uN4cMpGamjMvBaySkOoxwmMgMacO&amp;q-sign-time=1768053978%3B1768658778&amp;q-key-time=1768053978%3B1768658778&amp;q-header-list=host&amp;q-url-param-list=&amp;q-signature=a9c4eaf5437c00c7352a73006d11dbe2ceba2435" TargetMode="External"/><Relationship Id="rId33" Type="http://schemas.openxmlformats.org/officeDocument/2006/relationships/hyperlink" Target="https://wj-collection-1258344706.cos.ap-guangzhou.myqcloud.com/formal/25118307/q-11-ZXt3/25118307_0_aadf71dafdc071d1c9bac9f002764e5f.jpg?q-sign-algorithm=sha1&amp;q-ak=AKID3dz5uN4cMpGamjMvBaySkOoxwmMgMacO&amp;q-sign-time=1768053978%3B1768658778&amp;q-key-time=1768053978%3B1768658778&amp;q-header-list=host&amp;q-url-param-list=&amp;q-signature=1cea800b994e8262ff77fc1a2b23befef6635a22" TargetMode="External"/><Relationship Id="rId6" Type="http://schemas.openxmlformats.org/officeDocument/2006/relationships/hyperlink" Target="https://wj-collection-1258344706.cos.ap-guangzhou.myqcloud.com/formal/25118307/q-11-ZXt3/25118307_0_1f14e32f8ebeb24141b4a7cb449ea158.jpg?q-sign-algorithm=sha1&amp;q-ak=AKID3dz5uN4cMpGamjMvBaySkOoxwmMgMacO&amp;q-sign-time=1768053978%3B1768658778&amp;q-key-time=1768053978%3B1768658778&amp;q-header-list=host&amp;q-url-param-list=&amp;q-signature=ee9b8d0f2a31db22f6ec44f954283badc1409d05" TargetMode="External"/><Relationship Id="rId36" Type="http://schemas.openxmlformats.org/officeDocument/2006/relationships/hyperlink" Target="https://wj-collection-1258344706.cos.ap-guangzhou.myqcloud.com/formal/25118307/q-11-ZXt3/25118307_0_24f3fc6b72c8fb11c6d3e83a4879bedb.jpeg?q-sign-algorithm=sha1&amp;q-ak=AKID3dz5uN4cMpGamjMvBaySkOoxwmMgMacO&amp;q-sign-time=1768053978%3B1768658778&amp;q-key-time=1768053978%3B1768658778&amp;q-header-list=host&amp;q-url-param-list=&amp;q-signature=aa9346bfd175a58207bcfb73117617e54c8a0a5c" TargetMode="External"/><Relationship Id="rId60" Type="http://schemas.openxmlformats.org/officeDocument/2006/relationships/hyperlink" Target="https://wj-collection-1258344706.cos.ap-guangzhou.myqcloud.com/formal/25118307/q-11-ZXt3/25118307_0_99c3c2bd715db4052f18d73e9242fb26.jpeg?q-sign-algorithm=sha1&amp;q-ak=AKID3dz5uN4cMpGamjMvBaySkOoxwmMgMacO&amp;q-sign-time=1768053978%3B1768658778&amp;q-key-time=1768053978%3B1768658778&amp;q-header-list=host&amp;q-url-param-list=&amp;q-signature=be6e39c6458794df448dec263ccf7d0f195a292e" TargetMode="External"/><Relationship Id="rId37" Type="http://schemas.openxmlformats.org/officeDocument/2006/relationships/hyperlink" Target="https://wj-collection-1258344706.cos.ap-guangzhou.myqcloud.com/formal/25118307/q-11-ZXt3/25118307_0_a2e3ab6937dd7cc08274b6386d5beb2a.jpeg?q-sign-algorithm=sha1&amp;q-ak=AKID3dz5uN4cMpGamjMvBaySkOoxwmMgMacO&amp;q-sign-time=1768053978%3B1768658778&amp;q-key-time=1768053978%3B1768658778&amp;q-header-list=host&amp;q-url-param-list=&amp;q-signature=73f7670ae5b7c51c91a661fd12387f2a86a827ff" TargetMode="External"/></Relationships>
</file>

<file path=xl/worksheets/sheet1.xml><?xml version="1.0" encoding="utf-8"?>
<worksheet xmlns:r="http://schemas.openxmlformats.org/officeDocument/2006/relationships" xmlns="http://schemas.openxmlformats.org/spreadsheetml/2006/main">
  <sheetPr>
    <tabColor/>
  </sheetPr>
  <dimension ref="AV151"/>
  <sheetViews>
    <sheetView showGridLines="true" rightToLeft="false" workbookViewId="0"/>
  </sheetViews>
  <sheetFormatPr baseColWidth="13" defaultRowHeight="18" customHeight="true"/>
  <cols>
    <col min="1" max="1" width="6.71094" customWidth="true"/>
    <col min="2" max="2" width="13.7109" hidden="true" customWidth="true"/>
    <col min="3" max="11" width="13.7109" hidden="true" customWidth="true"/>
    <col min="12" max="12" width="47.7109" customWidth="true"/>
    <col min="13" max="21" width="13.7109" hidden="true" customWidth="true"/>
    <col min="22" max="22" width="26.1719" customWidth="true"/>
    <col min="35" max="48" width="13.7109" customWidth="true"/>
  </cols>
  <sheetData>
    <row r="1" spans="1:48">
      <c r="A1" s="4" t="s">
        <v>1</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c r="V1" t="s">
        <v>22</v>
      </c>
      <c r="AI1" s="4" t="s">
        <v>23</v>
      </c>
      <c r="AJ1" s="4" t="s">
        <v>24</v>
      </c>
      <c r="AK1" s="4" t="s">
        <v>25</v>
      </c>
      <c r="AL1" s="4" t="s">
        <v>26</v>
      </c>
      <c r="AM1" s="4" t="s">
        <v>27</v>
      </c>
      <c r="AN1" s="4" t="s">
        <v>28</v>
      </c>
      <c r="AO1" s="4" t="s">
        <v>29</v>
      </c>
      <c r="AP1" s="4" t="s">
        <v>30</v>
      </c>
      <c r="AQ1" s="4" t="s">
        <v>31</v>
      </c>
      <c r="AR1" s="4" t="s">
        <v>32</v>
      </c>
      <c r="AS1" s="4" t="s">
        <v>33</v>
      </c>
      <c r="AT1" s="4" t="s">
        <v>34</v>
      </c>
      <c r="AU1" s="4" t="s">
        <v>35</v>
      </c>
      <c r="AV1" s="4" t="s">
        <v>36</v>
      </c>
    </row>
    <row r="2" spans="1:48" s="34" customFormat="true">
      <c r="A2" s="5">
        <v>1</v>
      </c>
      <c r="B2" s="6">
        <v>46002.4409027778</v>
      </c>
      <c r="C2" s="6">
        <v>46002.4453125</v>
      </c>
      <c r="D2" s="7">
        <v>381</v>
      </c>
      <c r="E2" s="8" t="s">
        <v>37</v>
      </c>
      <c r="F2" s="8" t="s">
        <v>38</v>
      </c>
      <c r="G2" s="8" t="s">
        <v>39</v>
      </c>
      <c r="H2" s="9" t="s"/>
      <c r="I2" s="8" t="s">
        <v>40</v>
      </c>
      <c r="J2" s="8" t="s">
        <v>41</v>
      </c>
      <c r="K2" s="9" t="s"/>
      <c r="L2" s="8" t="s">
        <v>42</v>
      </c>
      <c r="M2" s="9" t="s"/>
      <c r="N2" s="9" t="s"/>
      <c r="O2" s="9" t="s"/>
      <c r="P2" s="9" t="s"/>
      <c r="Q2" s="9" t="s"/>
      <c r="R2" s="9" t="s"/>
      <c r="S2" s="9" t="s"/>
      <c r="T2" s="9" t="s"/>
      <c r="U2" s="9" t="s"/>
      <c r="V2" s="10" t="s">
        <v>43</v>
      </c>
      <c r="W2" s="11" t="s">
        <v>44</v>
      </c>
      <c r="X2" s="11" t="s">
        <v>45</v>
      </c>
      <c r="Y2" s="11" t="s">
        <v>46</v>
      </c>
      <c r="Z2" s="11" t="s">
        <v>47</v>
      </c>
      <c r="AA2" s="11" t="s">
        <v>48</v>
      </c>
      <c r="AB2" s="11" t="s">
        <v>49</v>
      </c>
      <c r="AC2" s="11" t="s">
        <v>50</v>
      </c>
      <c r="AD2" s="11" t="s">
        <v>51</v>
      </c>
      <c r="AE2" s="11" t="s">
        <v>52</v>
      </c>
      <c r="AF2" s="11" t="s">
        <v>53</v>
      </c>
      <c r="AG2" s="11" t="s">
        <v>54</v>
      </c>
      <c r="AH2" s="11" t="s"/>
      <c r="AI2" s="8" t="s">
        <v>55</v>
      </c>
      <c r="AJ2" s="8" t="s">
        <f>=HYPERLINK("https://wj-collection-1258344706.cos.ap-guangzhou.myqcloud.com/formal/25118307/q-11-ZXt3/25118307_0_07aaadb9d3a888bf725bc49983a3066f.jpg?q-sign-algorithm=sha1&amp;q-ak=AKID3dz5uN4cMpGamjMvBaySkOoxwmMgMacO&amp;q-sign-time=1768053978%3B1768658778&amp;q-key-time=1768053978%3B1768658778&amp;q-header-list=host&amp;q-url-param-list=&amp;q-signature=ea0dc5c40d2f18d8e5a568b4f92d3433771279ae","mmexport1765420049390.jpg(链接7天有效，失效请重新同步)")</f>
        <v>56</v>
      </c>
      <c r="AK2" s="8" t="s">
        <f>=HYPERLINK("https://wj-collection-1258344706.cos.ap-guangzhou.myqcloud.com/formal/25118307/q-11-ZXt3/25118307_0_2d3ae526b775f10baebc8ee7fc23f432.jpg?q-sign-algorithm=sha1&amp;q-ak=AKID3dz5uN4cMpGamjMvBaySkOoxwmMgMacO&amp;q-sign-time=1768053978%3B1768658778&amp;q-key-time=1768053978%3B1768658778&amp;q-header-list=host&amp;q-url-param-list=&amp;q-signature=a80e555e49cea293f3394aaeb8cb6a92f5a79f17","mmexport1765420050771.jpg(链接7天有效，失效请重新同步)")</f>
        <v>57</v>
      </c>
      <c r="AL2" s="8" t="s">
        <f>=HYPERLINK("https://wj-collection-1258344706.cos.ap-guangzhou.myqcloud.com/formal/25118307/q-11-ZXt3/25118307_0_ba9e5b22185a5831cc8a11bb6c4a3e9c.jpg?q-sign-algorithm=sha1&amp;q-ak=AKID3dz5uN4cMpGamjMvBaySkOoxwmMgMacO&amp;q-sign-time=1768053978%3B1768658778&amp;q-key-time=1768053978%3B1768658778&amp;q-header-list=host&amp;q-url-param-list=&amp;q-signature=895872a30265fecb7fcfc5f10d0f456ee314cf5c","mmexport1765420051988.jpg(链接7天有效，失效请重新同步)")</f>
        <v>58</v>
      </c>
      <c r="AM2" s="8" t="s">
        <f>=HYPERLINK("https://wj-collection-1258344706.cos.ap-guangzhou.myqcloud.com/formal/25118307/q-11-ZXt3/25118307_0_c123b5f0e20f3ea597322bad2192bc62.jpg?q-sign-algorithm=sha1&amp;q-ak=AKID3dz5uN4cMpGamjMvBaySkOoxwmMgMacO&amp;q-sign-time=1768053978%3B1768658778&amp;q-key-time=1768053978%3B1768658778&amp;q-header-list=host&amp;q-url-param-list=&amp;q-signature=25f7aba94e953738127c2095438b49365448bffa","mmexport1765420053065.jpg(链接7天有效，失效请重新同步)")</f>
        <v>59</v>
      </c>
      <c r="AN2" s="8" t="s">
        <f>=HYPERLINK("https://wj-collection-1258344706.cos.ap-guangzhou.myqcloud.com/formal/25118307/q-11-ZXt3/25118307_0_be23840c33039f370c3bb9b3a2695405.jpg?q-sign-algorithm=sha1&amp;q-ak=AKID3dz5uN4cMpGamjMvBaySkOoxwmMgMacO&amp;q-sign-time=1768053978%3B1768658778&amp;q-key-time=1768053978%3B1768658778&amp;q-header-list=host&amp;q-url-param-list=&amp;q-signature=0bc929d868ad0f1457a4b858b7ba5c66a2bcf5d0","mmexport1765420054473.jpg(链接7天有效，失效请重新同步)")</f>
        <v>60</v>
      </c>
      <c r="AO2" s="8" t="s">
        <f>=HYPERLINK("https://wj-collection-1258344706.cos.ap-guangzhou.myqcloud.com/formal/25118307/q-11-ZXt3/25118307_0_ccc38e4fa37a62b2bddde197a2705ed0.jpg?q-sign-algorithm=sha1&amp;q-ak=AKID3dz5uN4cMpGamjMvBaySkOoxwmMgMacO&amp;q-sign-time=1768053978%3B1768658778&amp;q-key-time=1768053978%3B1768658778&amp;q-header-list=host&amp;q-url-param-list=&amp;q-signature=39c1c16ef1edb6b843e7deb6666e37762a3324ec","mmexport1765420055698.jpg(链接7天有效，失效请重新同步)")</f>
        <v>61</v>
      </c>
      <c r="AP2" s="8" t="s">
        <f>=HYPERLINK("https://wj-collection-1258344706.cos.ap-guangzhou.myqcloud.com/formal/25118307/q-11-ZXt3/25118307_0_1f14e32f8ebeb24141b4a7cb449ea158.jpg?q-sign-algorithm=sha1&amp;q-ak=AKID3dz5uN4cMpGamjMvBaySkOoxwmMgMacO&amp;q-sign-time=1768053978%3B1768658778&amp;q-key-time=1768053978%3B1768658778&amp;q-header-list=host&amp;q-url-param-list=&amp;q-signature=ee9b8d0f2a31db22f6ec44f954283badc1409d05","mmexport1765420055698.jpg(链接7天有效，失效请重新同步)")</f>
        <v>61</v>
      </c>
      <c r="AQ2" s="8" t="s">
        <f>=HYPERLINK("https://wj-collection-1258344706.cos.ap-guangzhou.myqcloud.com/formal/25118307/q-11-ZXt3/25118307_0_8f4c237d2363cd6b45eb860b3867660d.jpg?q-sign-algorithm=sha1&amp;q-ak=AKID3dz5uN4cMpGamjMvBaySkOoxwmMgMacO&amp;q-sign-time=1768053978%3B1768658778&amp;q-key-time=1768053978%3B1768658778&amp;q-header-list=host&amp;q-url-param-list=&amp;q-signature=f4a7a3df189168d448cd53d183b775690fa937f7","mmexport1765420057023.jpg(链接7天有效，失效请重新同步)")</f>
        <v>62</v>
      </c>
      <c r="AR2" s="8" t="s">
        <f>=HYPERLINK("https://wj-collection-1258344706.cos.ap-guangzhou.myqcloud.com/formal/25118307/q-11-ZXt3/25118307_0_07b7dd991dc1d7dc1980f90f64041d3e.jpg?q-sign-algorithm=sha1&amp;q-ak=AKID3dz5uN4cMpGamjMvBaySkOoxwmMgMacO&amp;q-sign-time=1768053978%3B1768658778&amp;q-key-time=1768053978%3B1768658778&amp;q-header-list=host&amp;q-url-param-list=&amp;q-signature=f071fca20a45199eae070bffbac9096ca25ac555","mmexport1765420058207.jpg(链接7天有效，失效请重新同步)")</f>
        <v>63</v>
      </c>
      <c r="AS2" s="9" t="s"/>
      <c r="AT2" s="8" t="s">
        <v>64</v>
      </c>
      <c r="AU2" s="8" t="s">
        <v>65</v>
      </c>
      <c r="AV2" s="8" t="s">
        <v>66</v>
      </c>
    </row>
    <row r="3" spans="1:48">
      <c r="A3" s="5">
        <v>2</v>
      </c>
      <c r="B3" s="12">
        <v>46003.5437962962</v>
      </c>
      <c r="C3" s="12">
        <v>46003.5472800926</v>
      </c>
      <c r="D3" s="13">
        <v>301</v>
      </c>
      <c r="E3" s="4" t="s">
        <v>37</v>
      </c>
      <c r="F3" s="4" t="s">
        <v>38</v>
      </c>
      <c r="G3" s="4" t="s">
        <v>39</v>
      </c>
      <c r="H3" s="14" t="s"/>
      <c r="I3" s="4" t="s">
        <v>67</v>
      </c>
      <c r="J3" s="4" t="s">
        <v>68</v>
      </c>
      <c r="K3" s="14" t="s"/>
      <c r="L3" s="4" t="s">
        <v>69</v>
      </c>
      <c r="M3" s="14" t="s"/>
      <c r="N3" s="14" t="s"/>
      <c r="O3" s="14" t="s"/>
      <c r="P3" s="14" t="s"/>
      <c r="Q3" s="14" t="s"/>
      <c r="R3" s="14" t="s"/>
      <c r="S3" s="14" t="s"/>
      <c r="T3" s="14" t="s"/>
      <c r="U3" s="14" t="s"/>
      <c r="V3" s="15" t="s">
        <v>70</v>
      </c>
      <c r="W3" t="s">
        <v>71</v>
      </c>
      <c r="X3" t="s">
        <v>72</v>
      </c>
      <c r="Y3" t="s">
        <v>73</v>
      </c>
      <c r="Z3" t="s">
        <v>74</v>
      </c>
      <c r="AA3" t="s">
        <v>75</v>
      </c>
      <c r="AB3" t="s">
        <v>76</v>
      </c>
      <c r="AI3" s="4" t="s">
        <v>55</v>
      </c>
      <c r="AJ3" s="4" t="s">
        <f>=HYPERLINK("https://wj-collection-1258344706.cos.ap-guangzhou.myqcloud.com/formal/25118307/q-11-ZXt3/25118307_0_45f374cd5552b86bf43bfdbe0e2c1f75.png?q-sign-algorithm=sha1&amp;q-ak=AKID3dz5uN4cMpGamjMvBaySkOoxwmMgMacO&amp;q-sign-time=1768053978%3B1768658778&amp;q-key-time=1768053978%3B1768658778&amp;q-header-list=host&amp;q-url-param-list=&amp;q-signature=4fabf381f76bbf3d11f25730f285ec935c0f1617","屏幕截图 2025-12-12 114331.png(链接7天有效，失效请重新同步)")</f>
        <v>77</v>
      </c>
      <c r="AK3" s="14" t="s"/>
      <c r="AL3" s="14" t="s"/>
      <c r="AM3" s="14" t="s"/>
      <c r="AN3" s="14" t="s"/>
      <c r="AO3" s="14" t="s"/>
      <c r="AP3" s="14" t="s"/>
      <c r="AQ3" s="14" t="s"/>
      <c r="AR3" s="14" t="s"/>
      <c r="AS3" s="14" t="s"/>
      <c r="AT3" s="4" t="s">
        <v>64</v>
      </c>
      <c r="AU3" s="4" t="s">
        <v>65</v>
      </c>
      <c r="AV3" s="4" t="s">
        <v>66</v>
      </c>
    </row>
    <row r="4" spans="1:48">
      <c r="A4" s="5">
        <v>3</v>
      </c>
      <c r="B4" s="12">
        <v>46003.9583796296</v>
      </c>
      <c r="C4" s="12">
        <v>46003.9633680556</v>
      </c>
      <c r="D4" s="13">
        <v>431</v>
      </c>
      <c r="E4" s="4" t="s">
        <v>37</v>
      </c>
      <c r="F4" s="4" t="s">
        <v>38</v>
      </c>
      <c r="G4" s="4" t="s">
        <v>39</v>
      </c>
      <c r="H4" s="14" t="s"/>
      <c r="I4" s="4" t="s">
        <v>78</v>
      </c>
      <c r="J4" s="4" t="s">
        <v>79</v>
      </c>
      <c r="K4" s="4" t="s">
        <v>80</v>
      </c>
      <c r="L4" s="4" t="s">
        <v>81</v>
      </c>
      <c r="M4" s="14" t="s"/>
      <c r="N4" s="14" t="s"/>
      <c r="O4" s="14" t="s"/>
      <c r="P4" s="14" t="s"/>
      <c r="Q4" s="14" t="s"/>
      <c r="R4" s="14" t="s"/>
      <c r="S4" s="14" t="s"/>
      <c r="T4" s="14" t="s"/>
      <c r="U4" s="14" t="s"/>
      <c r="V4" t="s">
        <v>82</v>
      </c>
      <c r="W4" t="s">
        <v>83</v>
      </c>
      <c r="X4" t="s">
        <v>84</v>
      </c>
      <c r="Y4" t="s">
        <v>85</v>
      </c>
      <c r="Z4" t="s">
        <v>86</v>
      </c>
      <c r="AA4" t="s">
        <v>87</v>
      </c>
      <c r="AI4" s="4" t="s">
        <v>55</v>
      </c>
      <c r="AJ4" s="4" t="s">
        <f>=HYPERLINK("https://wj-collection-1258344706.cos.ap-guangzhou.myqcloud.com/formal/25118307/q-11-ZXt3/25118307_0_9b7131a31390a2a2f7b1669ba07b9fb0.png?q-sign-algorithm=sha1&amp;q-ak=AKID3dz5uN4cMpGamjMvBaySkOoxwmMgMacO&amp;q-sign-time=1768053978%3B1768658778&amp;q-key-time=1768053978%3B1768658778&amp;q-header-list=host&amp;q-url-param-list=&amp;q-signature=52a8c8ae2d30944f0933d76e320e1431b513c93d","e7fa3ac9-99f7-4f06-84ff-384aed18ef5f.png(链接7天有效，失效请重新同步)")</f>
        <v>88</v>
      </c>
      <c r="AK4" s="14" t="s"/>
      <c r="AL4" s="14" t="s"/>
      <c r="AM4" s="14" t="s"/>
      <c r="AN4" s="14" t="s"/>
      <c r="AO4" s="14" t="s"/>
      <c r="AP4" s="14" t="s"/>
      <c r="AQ4" s="14" t="s"/>
      <c r="AR4" s="14" t="s"/>
      <c r="AS4" s="14" t="s"/>
      <c r="AT4" s="4" t="s">
        <v>64</v>
      </c>
      <c r="AU4" s="4" t="s">
        <v>65</v>
      </c>
      <c r="AV4" s="4" t="s">
        <v>66</v>
      </c>
    </row>
    <row r="5" spans="1:48">
      <c r="A5" s="5">
        <v>4</v>
      </c>
      <c r="B5" s="12">
        <v>46004.598587963</v>
      </c>
      <c r="C5" s="12">
        <v>46004.6035185185</v>
      </c>
      <c r="D5" s="13">
        <v>426</v>
      </c>
      <c r="E5" s="4" t="s">
        <v>37</v>
      </c>
      <c r="F5" s="4" t="s">
        <v>89</v>
      </c>
      <c r="G5" s="4" t="s">
        <v>89</v>
      </c>
      <c r="H5" s="14" t="s"/>
      <c r="I5" s="4" t="s">
        <v>90</v>
      </c>
      <c r="J5" s="4" t="s">
        <v>91</v>
      </c>
      <c r="K5" s="14" t="s"/>
      <c r="L5" s="4" t="s">
        <v>92</v>
      </c>
      <c r="M5" s="14" t="s"/>
      <c r="N5" s="14" t="s"/>
      <c r="O5" s="14" t="s"/>
      <c r="P5" s="14" t="s"/>
      <c r="Q5" s="14" t="s"/>
      <c r="R5" s="14" t="s"/>
      <c r="S5" s="14" t="s"/>
      <c r="T5" s="14" t="s"/>
      <c r="U5" s="14" t="s"/>
      <c r="V5" s="15" t="s">
        <v>93</v>
      </c>
      <c r="W5" t="s">
        <v>94</v>
      </c>
      <c r="X5" t="s">
        <v>95</v>
      </c>
      <c r="Y5" t="s">
        <v>96</v>
      </c>
      <c r="AI5" s="4" t="s">
        <v>55</v>
      </c>
      <c r="AJ5" s="4" t="s">
        <f>=HYPERLINK("https://wj-collection-1258344706.cos.ap-guangzhou.myqcloud.com/formal/25118307/q-11-ZXt3/25118307_0_586087869428990909d2949d39b37478.jpeg?q-sign-algorithm=sha1&amp;q-ak=AKID3dz5uN4cMpGamjMvBaySkOoxwmMgMacO&amp;q-sign-time=1768053978%3B1768658778&amp;q-key-time=1768053978%3B1768658778&amp;q-header-list=host&amp;q-url-param-list=&amp;q-signature=19c7fbc49f051451d46e48178de28971681d19f9","MEITU_20251210_143340894.jpeg(链接7天有效，失效请重新同步)")</f>
        <v>97</v>
      </c>
      <c r="AK5" s="14" t="s"/>
      <c r="AL5" s="14" t="s"/>
      <c r="AM5" s="14" t="s"/>
      <c r="AN5" s="14" t="s"/>
      <c r="AO5" s="14" t="s"/>
      <c r="AP5" s="14" t="s"/>
      <c r="AQ5" s="14" t="s"/>
      <c r="AR5" s="14" t="s"/>
      <c r="AS5" s="14" t="s"/>
      <c r="AT5" s="4" t="s">
        <v>64</v>
      </c>
      <c r="AU5" s="4" t="s">
        <v>65</v>
      </c>
      <c r="AV5" s="4" t="s">
        <v>66</v>
      </c>
    </row>
    <row r="6" spans="1:48">
      <c r="A6" s="5">
        <v>5</v>
      </c>
      <c r="B6" s="12">
        <v>46004.6490625</v>
      </c>
      <c r="C6" s="12">
        <v>46004.6629976852</v>
      </c>
      <c r="D6" s="13">
        <v>1204</v>
      </c>
      <c r="E6" s="4" t="s">
        <v>37</v>
      </c>
      <c r="F6" s="4" t="s">
        <v>98</v>
      </c>
      <c r="G6" s="4" t="s">
        <v>98</v>
      </c>
      <c r="H6" s="14" t="s"/>
      <c r="I6" s="4" t="s">
        <v>99</v>
      </c>
      <c r="J6" s="4" t="s">
        <v>79</v>
      </c>
      <c r="K6" s="14" t="s"/>
      <c r="L6" s="4" t="s">
        <v>100</v>
      </c>
      <c r="M6" s="14" t="s"/>
      <c r="N6" s="14" t="s"/>
      <c r="O6" s="14" t="s"/>
      <c r="P6" s="14" t="s"/>
      <c r="Q6" s="14" t="s"/>
      <c r="R6" s="14" t="s"/>
      <c r="S6" s="14" t="s"/>
      <c r="T6" s="14" t="s"/>
      <c r="U6" s="14" t="s"/>
      <c r="V6" s="15" t="s">
        <v>101</v>
      </c>
      <c r="W6" s="16" t="s">
        <v>102</v>
      </c>
      <c r="X6" s="15" t="s">
        <v>103</v>
      </c>
      <c r="Y6" t="s">
        <v>104</v>
      </c>
      <c r="Z6" t="s">
        <v>105</v>
      </c>
      <c r="AA6" s="15" t="s">
        <v>106</v>
      </c>
      <c r="AB6" t="s">
        <v>107</v>
      </c>
      <c r="AI6" s="4" t="s">
        <v>55</v>
      </c>
      <c r="AJ6" s="4" t="s">
        <f>=HYPERLINK("https://wj-collection-1258344706.cos.ap-guangzhou.myqcloud.com/formal/25118307/q-11-ZXt3/25118307_0_063e27ec7fd275443291e13f3aa124c9.docx?q-sign-algorithm=sha1&amp;q-ak=AKID3dz5uN4cMpGamjMvBaySkOoxwmMgMacO&amp;q-sign-time=1768053978%3B1768658778&amp;q-key-time=1768053978%3B1768658778&amp;q-header-list=host&amp;q-url-param-list=&amp;q-signature=45cdf46571c19149b95db1aa599405afc9b042ab","苗宇涵-履历.docx(链接7天有效，失效请重新同步)")</f>
        <v>108</v>
      </c>
      <c r="AK6" s="14" t="s"/>
      <c r="AL6" s="14" t="s"/>
      <c r="AM6" s="14" t="s"/>
      <c r="AN6" s="14" t="s"/>
      <c r="AO6" s="14" t="s"/>
      <c r="AP6" s="14" t="s"/>
      <c r="AQ6" s="14" t="s"/>
      <c r="AR6" s="14" t="s"/>
      <c r="AS6" s="14" t="s"/>
      <c r="AT6" s="4" t="s">
        <v>64</v>
      </c>
      <c r="AU6" s="4" t="s">
        <v>65</v>
      </c>
      <c r="AV6" s="4" t="s">
        <v>66</v>
      </c>
    </row>
    <row r="7" spans="1:48">
      <c r="A7" s="5">
        <v>6</v>
      </c>
      <c r="B7" s="12">
        <v>46004.8893518519</v>
      </c>
      <c r="C7" s="12">
        <v>46004.8946643519</v>
      </c>
      <c r="D7" s="13">
        <v>459</v>
      </c>
      <c r="E7" s="4" t="s">
        <v>37</v>
      </c>
      <c r="F7" s="4" t="s">
        <v>109</v>
      </c>
      <c r="G7" s="4" t="s">
        <v>110</v>
      </c>
      <c r="H7" s="14" t="s"/>
      <c r="I7" s="4" t="s">
        <v>111</v>
      </c>
      <c r="J7" s="4" t="s">
        <v>112</v>
      </c>
      <c r="K7" s="14" t="s"/>
      <c r="L7" s="4" t="s">
        <v>113</v>
      </c>
      <c r="M7" s="14" t="s"/>
      <c r="N7" s="14" t="s"/>
      <c r="O7" s="14" t="s"/>
      <c r="P7" s="14" t="s"/>
      <c r="Q7" s="14" t="s"/>
      <c r="R7" s="14" t="s"/>
      <c r="S7" s="14" t="s"/>
      <c r="T7" s="14" t="s"/>
      <c r="U7" s="14" t="s"/>
      <c r="V7" t="s">
        <v>114</v>
      </c>
      <c r="W7" t="s">
        <v>115</v>
      </c>
      <c r="X7" t="s">
        <v>116</v>
      </c>
      <c r="Y7" t="s">
        <v>117</v>
      </c>
      <c r="Z7" t="s">
        <v>118</v>
      </c>
      <c r="AA7" t="s">
        <v>119</v>
      </c>
      <c r="AB7" t="s">
        <v>120</v>
      </c>
      <c r="AC7" t="s">
        <v>121</v>
      </c>
      <c r="AD7" t="s">
        <v>122</v>
      </c>
      <c r="AE7" t="s">
        <v>123</v>
      </c>
      <c r="AF7" t="s">
        <v>124</v>
      </c>
      <c r="AG7" t="s">
        <v>125</v>
      </c>
      <c r="AI7" s="4" t="s">
        <v>126</v>
      </c>
      <c r="AJ7" s="14" t="s"/>
      <c r="AK7" s="14" t="s"/>
      <c r="AL7" s="14" t="s"/>
      <c r="AM7" s="14" t="s"/>
      <c r="AN7" s="14" t="s"/>
      <c r="AO7" s="14" t="s"/>
      <c r="AP7" s="14" t="s"/>
      <c r="AQ7" s="14" t="s"/>
      <c r="AR7" s="14" t="s"/>
      <c r="AS7" s="14" t="s"/>
      <c r="AT7" s="4" t="s">
        <v>64</v>
      </c>
      <c r="AU7" s="4" t="s">
        <v>65</v>
      </c>
      <c r="AV7" s="4" t="s">
        <v>66</v>
      </c>
    </row>
    <row r="8" spans="1:48">
      <c r="A8" s="5">
        <v>7</v>
      </c>
      <c r="B8" s="12">
        <v>46004.8994907407</v>
      </c>
      <c r="C8" s="12">
        <v>46004.9025115741</v>
      </c>
      <c r="D8" s="13">
        <v>261</v>
      </c>
      <c r="E8" s="4" t="s">
        <v>37</v>
      </c>
      <c r="F8" s="4" t="s">
        <v>38</v>
      </c>
      <c r="G8" s="4" t="s">
        <v>127</v>
      </c>
      <c r="H8" s="14" t="s"/>
      <c r="I8" s="4" t="s">
        <v>128</v>
      </c>
      <c r="J8" s="4" t="s">
        <v>129</v>
      </c>
      <c r="K8" s="4" t="s">
        <v>80</v>
      </c>
      <c r="L8" s="4" t="s">
        <v>130</v>
      </c>
      <c r="M8" s="14" t="s"/>
      <c r="N8" s="14" t="s"/>
      <c r="O8" s="14" t="s"/>
      <c r="P8" s="14" t="s"/>
      <c r="Q8" s="14" t="s"/>
      <c r="R8" s="14" t="s"/>
      <c r="S8" s="14" t="s"/>
      <c r="T8" s="14" t="s"/>
      <c r="U8" s="14" t="s"/>
      <c r="V8" t="s">
        <v>131</v>
      </c>
      <c r="W8" t="s">
        <v>132</v>
      </c>
      <c r="X8" t="s">
        <v>133</v>
      </c>
      <c r="Y8" t="s">
        <v>134</v>
      </c>
      <c r="Z8" t="s">
        <v>135</v>
      </c>
      <c r="AA8" t="s">
        <v>136</v>
      </c>
      <c r="AB8" t="s">
        <v>137</v>
      </c>
      <c r="AC8" t="s">
        <v>138</v>
      </c>
      <c r="AD8" t="s">
        <v>139</v>
      </c>
      <c r="AE8" t="s">
        <v>140</v>
      </c>
      <c r="AI8" s="4" t="s">
        <v>126</v>
      </c>
      <c r="AJ8" s="14" t="s"/>
      <c r="AK8" s="14" t="s"/>
      <c r="AL8" s="14" t="s"/>
      <c r="AM8" s="14" t="s"/>
      <c r="AN8" s="14" t="s"/>
      <c r="AO8" s="14" t="s"/>
      <c r="AP8" s="14" t="s"/>
      <c r="AQ8" s="14" t="s"/>
      <c r="AR8" s="14" t="s"/>
      <c r="AS8" s="14" t="s"/>
      <c r="AT8" s="4" t="s">
        <v>64</v>
      </c>
      <c r="AU8" s="4" t="s">
        <v>65</v>
      </c>
      <c r="AV8" s="4" t="s">
        <v>66</v>
      </c>
    </row>
    <row r="9" spans="1:48" s="34" customFormat="true">
      <c r="A9" s="5">
        <v>8</v>
      </c>
      <c r="B9" s="6">
        <v>46004.9431828704</v>
      </c>
      <c r="C9" s="6">
        <v>46004.9552777778</v>
      </c>
      <c r="D9" s="7">
        <v>1045</v>
      </c>
      <c r="E9" s="8" t="s">
        <v>37</v>
      </c>
      <c r="F9" s="8" t="s">
        <v>141</v>
      </c>
      <c r="G9" s="9" t="s"/>
      <c r="H9" s="9" t="s"/>
      <c r="I9" s="8" t="s">
        <v>142</v>
      </c>
      <c r="J9" s="8" t="s">
        <v>143</v>
      </c>
      <c r="K9" s="8" t="s">
        <v>80</v>
      </c>
      <c r="L9" s="8" t="s">
        <v>144</v>
      </c>
      <c r="M9" s="9" t="s"/>
      <c r="N9" s="9" t="s"/>
      <c r="O9" s="9" t="s"/>
      <c r="P9" s="9" t="s"/>
      <c r="Q9" s="9" t="s"/>
      <c r="R9" s="9" t="s"/>
      <c r="S9" s="9" t="s"/>
      <c r="T9" s="9" t="s"/>
      <c r="U9" s="9" t="s"/>
      <c r="V9" s="10" t="s">
        <v>145</v>
      </c>
      <c r="W9" s="17" t="s">
        <v>146</v>
      </c>
      <c r="X9" s="11" t="s">
        <v>147</v>
      </c>
      <c r="Y9" s="11" t="s">
        <v>148</v>
      </c>
      <c r="Z9" s="11" t="s">
        <v>149</v>
      </c>
      <c r="AA9" s="18" t="s">
        <v>150</v>
      </c>
      <c r="AB9" s="11" t="s">
        <v>151</v>
      </c>
      <c r="AC9" s="11" t="s">
        <v>152</v>
      </c>
      <c r="AD9" s="11" t="s">
        <v>153</v>
      </c>
      <c r="AE9" s="11" t="s">
        <v>154</v>
      </c>
      <c r="AF9" s="11" t="s">
        <v>155</v>
      </c>
      <c r="AG9" s="11" t="s">
        <v>156</v>
      </c>
      <c r="AH9" s="11" t="s"/>
      <c r="AI9" s="8" t="s">
        <v>55</v>
      </c>
      <c r="AJ9" s="9" t="s"/>
      <c r="AK9" s="9" t="s"/>
      <c r="AL9" s="9" t="s"/>
      <c r="AM9" s="9" t="s"/>
      <c r="AN9" s="9" t="s"/>
      <c r="AO9" s="9" t="s"/>
      <c r="AP9" s="9" t="s"/>
      <c r="AQ9" s="9" t="s"/>
      <c r="AR9" s="9" t="s"/>
      <c r="AS9" s="9" t="s"/>
      <c r="AT9" s="8" t="s">
        <v>64</v>
      </c>
      <c r="AU9" s="8" t="s">
        <v>65</v>
      </c>
      <c r="AV9" s="8" t="s">
        <v>66</v>
      </c>
    </row>
    <row r="10" spans="1:48">
      <c r="A10" s="5">
        <v>9</v>
      </c>
      <c r="B10" s="12">
        <v>46005.436875</v>
      </c>
      <c r="C10" s="12">
        <v>46005.4370601852</v>
      </c>
      <c r="D10" s="13">
        <v>16</v>
      </c>
      <c r="E10" s="4" t="s">
        <v>157</v>
      </c>
      <c r="F10" s="4" t="s">
        <v>157</v>
      </c>
      <c r="G10" s="14" t="s"/>
      <c r="H10" s="14" t="s"/>
      <c r="I10" s="4" t="s">
        <v>158</v>
      </c>
      <c r="J10" s="4" t="s">
        <v>159</v>
      </c>
      <c r="K10" s="14" t="s"/>
      <c r="L10" s="19" t="s">
        <v>160</v>
      </c>
      <c r="M10" s="14" t="s"/>
      <c r="N10" s="14" t="s"/>
      <c r="O10" s="14" t="s"/>
      <c r="P10" s="14" t="s"/>
      <c r="Q10" s="14" t="s"/>
      <c r="R10" s="14" t="s"/>
      <c r="S10" s="14" t="s"/>
      <c r="T10" s="14" t="s"/>
      <c r="U10" s="14" t="s"/>
      <c r="V10" t="s">
        <v>161</v>
      </c>
      <c r="W10" t="s">
        <v>162</v>
      </c>
      <c r="X10" t="s">
        <v>163</v>
      </c>
      <c r="Y10" t="s">
        <v>164</v>
      </c>
      <c r="Z10" t="s">
        <v>165</v>
      </c>
      <c r="AA10" t="s">
        <v>166</v>
      </c>
      <c r="AB10" t="s">
        <v>167</v>
      </c>
      <c r="AC10" t="s">
        <v>168</v>
      </c>
      <c r="AD10" t="s">
        <v>169</v>
      </c>
      <c r="AE10" t="s">
        <v>170</v>
      </c>
      <c r="AF10" t="s">
        <v>171</v>
      </c>
      <c r="AG10" t="s">
        <v>172</v>
      </c>
      <c r="AI10" s="4" t="s">
        <v>55</v>
      </c>
      <c r="AJ10" s="14" t="s"/>
      <c r="AK10" s="14" t="s"/>
      <c r="AL10" s="14" t="s"/>
      <c r="AM10" s="14" t="s"/>
      <c r="AN10" s="14" t="s"/>
      <c r="AO10" s="14" t="s"/>
      <c r="AP10" s="14" t="s"/>
      <c r="AQ10" s="14" t="s"/>
      <c r="AR10" s="14" t="s"/>
      <c r="AS10" s="14" t="s"/>
      <c r="AT10" s="4" t="s">
        <v>64</v>
      </c>
      <c r="AU10" s="4" t="s">
        <v>65</v>
      </c>
      <c r="AV10" s="4" t="s">
        <v>66</v>
      </c>
    </row>
    <row r="11" spans="1:48">
      <c r="A11" s="5">
        <v>10</v>
      </c>
      <c r="B11" s="12">
        <v>46005.6890277778</v>
      </c>
      <c r="C11" s="12">
        <v>46005.6948148148</v>
      </c>
      <c r="D11" s="13">
        <v>500</v>
      </c>
      <c r="E11" s="4" t="s">
        <v>37</v>
      </c>
      <c r="F11" s="4" t="s">
        <v>173</v>
      </c>
      <c r="G11" s="4" t="s">
        <v>174</v>
      </c>
      <c r="H11" s="14" t="s"/>
      <c r="I11" s="4" t="s">
        <v>175</v>
      </c>
      <c r="J11" s="4" t="s">
        <v>176</v>
      </c>
      <c r="K11" s="4" t="s">
        <v>177</v>
      </c>
      <c r="L11" s="4" t="s">
        <v>178</v>
      </c>
      <c r="M11" s="14" t="s"/>
      <c r="N11" s="14" t="s"/>
      <c r="O11" s="14" t="s"/>
      <c r="P11" s="14" t="s"/>
      <c r="Q11" s="14" t="s"/>
      <c r="R11" s="14" t="s"/>
      <c r="S11" s="14" t="s"/>
      <c r="T11" s="14" t="s"/>
      <c r="U11" s="14" t="s"/>
      <c r="V11" t="s">
        <v>179</v>
      </c>
      <c r="W11" t="s">
        <v>180</v>
      </c>
      <c r="X11" t="s">
        <v>181</v>
      </c>
      <c r="Y11" t="s">
        <v>182</v>
      </c>
      <c r="Z11" t="s">
        <v>183</v>
      </c>
      <c r="AA11" t="s">
        <v>184</v>
      </c>
      <c r="AB11" t="s">
        <v>185</v>
      </c>
      <c r="AC11" t="s">
        <v>186</v>
      </c>
      <c r="AD11" t="s">
        <v>187</v>
      </c>
      <c r="AE11" t="s">
        <v>188</v>
      </c>
      <c r="AF11" t="s">
        <v>189</v>
      </c>
      <c r="AG11" t="s">
        <v>190</v>
      </c>
      <c r="AI11" s="4" t="s">
        <v>55</v>
      </c>
      <c r="AJ11" s="4" t="s">
        <f>=HYPERLINK("https://wj-collection-1258344706.cos.ap-guangzhou.myqcloud.com/formal/25118307/q-11-ZXt3/25118307_0_7df41194ccd58d5e88c09b898b756c5a.png?q-sign-algorithm=sha1&amp;q-ak=AKID3dz5uN4cMpGamjMvBaySkOoxwmMgMacO&amp;q-sign-time=1768053978%3B1768658778&amp;q-key-time=1768053978%3B1768658778&amp;q-header-list=host&amp;q-url-param-list=&amp;q-signature=a8b3449aa199347813cc121242aa707b52bb8f30","ScreenShot_2025-12-14_164015_876.png(链接7天有效，失效请重新同步)")</f>
        <v>191</v>
      </c>
      <c r="AK11" s="14" t="s"/>
      <c r="AL11" s="14" t="s"/>
      <c r="AM11" s="14" t="s"/>
      <c r="AN11" s="14" t="s"/>
      <c r="AO11" s="14" t="s"/>
      <c r="AP11" s="14" t="s"/>
      <c r="AQ11" s="14" t="s"/>
      <c r="AR11" s="14" t="s"/>
      <c r="AS11" s="4" t="s">
        <v>192</v>
      </c>
      <c r="AT11" s="4" t="s">
        <v>64</v>
      </c>
      <c r="AU11" s="4" t="s">
        <v>65</v>
      </c>
      <c r="AV11" s="4" t="s">
        <v>66</v>
      </c>
    </row>
    <row r="12" spans="1:48" s="35" customFormat="true">
      <c r="A12" s="5">
        <v>11</v>
      </c>
      <c r="B12" s="20">
        <v>46005.7866435185</v>
      </c>
      <c r="C12" s="20">
        <v>46005.7926620371</v>
      </c>
      <c r="D12" s="21">
        <v>520</v>
      </c>
      <c r="E12" s="19" t="s">
        <v>37</v>
      </c>
      <c r="F12" s="19" t="s">
        <v>193</v>
      </c>
      <c r="G12" s="19" t="s">
        <v>194</v>
      </c>
      <c r="H12" s="22" t="s"/>
      <c r="I12" s="19" t="s">
        <v>195</v>
      </c>
      <c r="J12" s="19" t="s">
        <v>196</v>
      </c>
      <c r="K12" s="22" t="s"/>
      <c r="L12" s="19" t="s">
        <v>197</v>
      </c>
      <c r="M12" s="22" t="s"/>
      <c r="N12" s="22" t="s"/>
      <c r="O12" s="22" t="s"/>
      <c r="P12" s="22" t="s"/>
      <c r="Q12" s="22" t="s"/>
      <c r="R12" s="22" t="s"/>
      <c r="S12" s="22" t="s"/>
      <c r="T12" s="22" t="s"/>
      <c r="U12" s="22" t="s"/>
      <c r="V12" s="10" t="s">
        <v>198</v>
      </c>
      <c r="W12" s="11" t="s">
        <v>199</v>
      </c>
      <c r="X12" s="11" t="s">
        <v>200</v>
      </c>
      <c r="Y12" s="11" t="s">
        <v>201</v>
      </c>
      <c r="Z12" s="11" t="s">
        <v>202</v>
      </c>
      <c r="AA12" s="11" t="s">
        <v>203</v>
      </c>
      <c r="AB12" s="11" t="s">
        <v>204</v>
      </c>
      <c r="AC12" s="11" t="s">
        <v>205</v>
      </c>
      <c r="AD12" s="11" t="s">
        <v>206</v>
      </c>
      <c r="AE12" s="11" t="s">
        <v>207</v>
      </c>
      <c r="AF12" s="11" t="s">
        <v>208</v>
      </c>
      <c r="AG12" s="11" t="s">
        <v>209</v>
      </c>
      <c r="AH12" s="11" t="s"/>
      <c r="AI12" s="19" t="s">
        <v>55</v>
      </c>
      <c r="AJ12" s="22" t="s"/>
      <c r="AK12" s="22" t="s"/>
      <c r="AL12" s="22" t="s"/>
      <c r="AM12" s="22" t="s"/>
      <c r="AN12" s="22" t="s"/>
      <c r="AO12" s="22" t="s"/>
      <c r="AP12" s="22" t="s"/>
      <c r="AQ12" s="22" t="s"/>
      <c r="AR12" s="22" t="s"/>
      <c r="AS12" s="22" t="s"/>
      <c r="AT12" s="19" t="s">
        <v>64</v>
      </c>
      <c r="AU12" s="19" t="s">
        <v>65</v>
      </c>
      <c r="AV12" s="19" t="s">
        <v>66</v>
      </c>
    </row>
    <row r="13" spans="1:48">
      <c r="A13" s="5">
        <v>12</v>
      </c>
      <c r="B13" s="12">
        <v>46005.8827893519</v>
      </c>
      <c r="C13" s="12">
        <v>46005.9921296296</v>
      </c>
      <c r="D13" s="13">
        <v>9447</v>
      </c>
      <c r="E13" s="4" t="s">
        <v>37</v>
      </c>
      <c r="F13" s="4" t="s">
        <v>141</v>
      </c>
      <c r="G13" s="4" t="s">
        <v>210</v>
      </c>
      <c r="H13" s="14" t="s"/>
      <c r="I13" s="4" t="s">
        <v>211</v>
      </c>
      <c r="J13" s="4" t="s">
        <v>212</v>
      </c>
      <c r="K13" s="14" t="s"/>
      <c r="L13" s="4" t="s">
        <v>213</v>
      </c>
      <c r="M13" s="14" t="s"/>
      <c r="N13" s="14" t="s"/>
      <c r="O13" s="14" t="s"/>
      <c r="P13" s="14" t="s"/>
      <c r="Q13" s="14" t="s"/>
      <c r="R13" s="14" t="s"/>
      <c r="S13" s="14" t="s"/>
      <c r="T13" s="14" t="s"/>
      <c r="U13" s="14" t="s"/>
      <c r="V13" t="s">
        <v>214</v>
      </c>
      <c r="W13" t="s">
        <v>215</v>
      </c>
      <c r="X13" t="s">
        <v>216</v>
      </c>
      <c r="Y13" t="s">
        <v>217</v>
      </c>
      <c r="Z13" t="s">
        <v>218</v>
      </c>
      <c r="AA13" t="s">
        <v>219</v>
      </c>
      <c r="AB13" t="s">
        <v>220</v>
      </c>
      <c r="AC13" t="s">
        <v>221</v>
      </c>
      <c r="AD13" t="s">
        <v>222</v>
      </c>
      <c r="AE13" t="s">
        <v>223</v>
      </c>
      <c r="AF13" t="s">
        <v>224</v>
      </c>
      <c r="AG13" t="s">
        <v>225</v>
      </c>
      <c r="AI13" s="4" t="s">
        <v>126</v>
      </c>
      <c r="AJ13" s="14" t="s"/>
      <c r="AK13" s="14" t="s"/>
      <c r="AL13" s="14" t="s"/>
      <c r="AM13" s="14" t="s"/>
      <c r="AN13" s="14" t="s"/>
      <c r="AO13" s="14" t="s"/>
      <c r="AP13" s="14" t="s"/>
      <c r="AQ13" s="14" t="s"/>
      <c r="AR13" s="14" t="s"/>
      <c r="AS13" s="14" t="s"/>
      <c r="AT13" s="4" t="s">
        <v>64</v>
      </c>
      <c r="AU13" s="4" t="s">
        <v>65</v>
      </c>
      <c r="AV13" s="4" t="s">
        <v>66</v>
      </c>
    </row>
    <row r="14" spans="1:48" s="36" customFormat="true">
      <c r="A14" s="5">
        <v>13</v>
      </c>
      <c r="B14" s="23">
        <v>46006.008599537</v>
      </c>
      <c r="C14" s="23">
        <v>46006.0227777778</v>
      </c>
      <c r="D14" s="24">
        <v>1225</v>
      </c>
      <c r="E14" s="25" t="s">
        <v>37</v>
      </c>
      <c r="F14" s="25" t="s">
        <v>226</v>
      </c>
      <c r="G14" s="25" t="s">
        <v>227</v>
      </c>
      <c r="H14" s="26" t="s"/>
      <c r="I14" s="25" t="s">
        <v>228</v>
      </c>
      <c r="J14" s="25" t="s">
        <v>229</v>
      </c>
      <c r="K14" s="26" t="s"/>
      <c r="L14" s="25" t="s">
        <v>230</v>
      </c>
      <c r="M14" s="26" t="s"/>
      <c r="N14" s="26" t="s"/>
      <c r="O14" s="26" t="s"/>
      <c r="P14" s="26" t="s"/>
      <c r="Q14" s="26" t="s"/>
      <c r="R14" s="26" t="s"/>
      <c r="S14" s="26" t="s"/>
      <c r="T14" s="26" t="s"/>
      <c r="U14" s="26" t="s"/>
      <c r="V14" s="10" t="s">
        <v>231</v>
      </c>
      <c r="W14" s="11" t="s">
        <v>232</v>
      </c>
      <c r="X14" s="11" t="s">
        <v>233</v>
      </c>
      <c r="Y14" s="11" t="s">
        <v>234</v>
      </c>
      <c r="Z14" s="27" t="s">
        <v>235</v>
      </c>
      <c r="AA14" s="11" t="s">
        <v>236</v>
      </c>
      <c r="AB14" s="11" t="s">
        <v>237</v>
      </c>
      <c r="AC14" s="11" t="s">
        <v>238</v>
      </c>
      <c r="AD14" s="11" t="s">
        <v>239</v>
      </c>
      <c r="AE14" s="11" t="s">
        <v>240</v>
      </c>
      <c r="AF14" s="11" t="s">
        <v>241</v>
      </c>
      <c r="AG14" s="11" t="s"/>
      <c r="AH14" s="11" t="s"/>
      <c r="AI14" s="25" t="s">
        <v>55</v>
      </c>
      <c r="AJ14" s="25" t="s">
        <f>=HYPERLINK("https://wj-collection-1258344706.cos.ap-guangzhou.myqcloud.com/formal/25118307/q-11-ZXt3/25118307_0_f048f38c3970d8e898672f65495e19b8.jpg?q-sign-algorithm=sha1&amp;q-ak=AKID3dz5uN4cMpGamjMvBaySkOoxwmMgMacO&amp;q-sign-time=1768053978%3B1768658778&amp;q-key-time=1768053978%3B1768658778&amp;q-header-list=host&amp;q-url-param-list=&amp;q-signature=594c21da8f277e9e55f4374e0bd1679365fe3047","mmexport1765729232623.jpg(链接7天有效，失效请重新同步)")</f>
        <v>242</v>
      </c>
      <c r="AK14" s="25" t="s">
        <f>=HYPERLINK("https://wj-collection-1258344706.cos.ap-guangzhou.myqcloud.com/formal/25118307/q-11-ZXt3/25118307_0_e2a0d0ea4ba939b6abe1cb48299ca717.jpg?q-sign-algorithm=sha1&amp;q-ak=AKID3dz5uN4cMpGamjMvBaySkOoxwmMgMacO&amp;q-sign-time=1768053978%3B1768658778&amp;q-key-time=1768053978%3B1768658778&amp;q-header-list=host&amp;q-url-param-list=&amp;q-signature=571193acbe35f9124810a10ec163ae3ba5372126","mmexport1765729235309.jpg(链接7天有效，失效请重新同步)")</f>
        <v>243</v>
      </c>
      <c r="AL14" s="25" t="s">
        <f>=HYPERLINK("https://wj-collection-1258344706.cos.ap-guangzhou.myqcloud.com/formal/25118307/q-11-ZXt3/25118307_0_f19807725ee708c261b69175de914e23.jpg?q-sign-algorithm=sha1&amp;q-ak=AKID3dz5uN4cMpGamjMvBaySkOoxwmMgMacO&amp;q-sign-time=1768053978%3B1768658778&amp;q-key-time=1768053978%3B1768658778&amp;q-header-list=host&amp;q-url-param-list=&amp;q-signature=d9d213a5c3d7aa6bb5bc0ca27bafd38c00fc0f4a","mmexport1765729237656.jpg(链接7天有效，失效请重新同步)")</f>
        <v>244</v>
      </c>
      <c r="AM14" s="25" t="s">
        <f>=HYPERLINK("https://wj-collection-1258344706.cos.ap-guangzhou.myqcloud.com/formal/25118307/q-11-ZXt3/25118307_0_c01698004662988f71abf42de28ef4ac.jpg?q-sign-algorithm=sha1&amp;q-ak=AKID3dz5uN4cMpGamjMvBaySkOoxwmMgMacO&amp;q-sign-time=1768053978%3B1768658778&amp;q-key-time=1768053978%3B1768658778&amp;q-header-list=host&amp;q-url-param-list=&amp;q-signature=d56d651f574a38ebaf49df3014cedcd6051deb41","mmexport1765729258284.jpg(链接7天有效，失效请重新同步)")</f>
        <v>245</v>
      </c>
      <c r="AN14" s="25" t="s">
        <f>=HYPERLINK("https://wj-collection-1258344706.cos.ap-guangzhou.myqcloud.com/formal/25118307/q-11-ZXt3/25118307_0_724ea528ee248e7e5fbf7c6931d5895e.jpg?q-sign-algorithm=sha1&amp;q-ak=AKID3dz5uN4cMpGamjMvBaySkOoxwmMgMacO&amp;q-sign-time=1768053978%3B1768658778&amp;q-key-time=1768053978%3B1768658778&amp;q-header-list=host&amp;q-url-param-list=&amp;q-signature=1dae1cbfd438cee08d876a09609903575328765e","mmexport1765729295546.jpg(链接7天有效，失效请重新同步)")</f>
        <v>246</v>
      </c>
      <c r="AO14" s="25" t="s">
        <f>=HYPERLINK("https://wj-collection-1258344706.cos.ap-guangzhou.myqcloud.com/formal/25118307/q-11-ZXt3/25118307_0_5c7b2af13f9d60034be9ca5ffa31ba50.jpg?q-sign-algorithm=sha1&amp;q-ak=AKID3dz5uN4cMpGamjMvBaySkOoxwmMgMacO&amp;q-sign-time=1768053978%3B1768658778&amp;q-key-time=1768053978%3B1768658778&amp;q-header-list=host&amp;q-url-param-list=&amp;q-signature=3cfa5d3251b8c607aea43afc3b4b2cb4e90bf2eb","mmexport1765729271530.jpg(链接7天有效，失效请重新同步)")</f>
        <v>247</v>
      </c>
      <c r="AP14" s="25" t="s">
        <f>=HYPERLINK("https://wj-collection-1258344706.cos.ap-guangzhou.myqcloud.com/formal/25118307/q-11-ZXt3/25118307_0_c9a47f8deae5aa01fa5496fa36f2f236.jpg?q-sign-algorithm=sha1&amp;q-ak=AKID3dz5uN4cMpGamjMvBaySkOoxwmMgMacO&amp;q-sign-time=1768053978%3B1768658778&amp;q-key-time=1768053978%3B1768658778&amp;q-header-list=host&amp;q-url-param-list=&amp;q-signature=134ccf7066d7ca0290bf42e6885119b73e152bb8","mmexport1765729269057.jpg(链接7天有效，失效请重新同步)")</f>
        <v>248</v>
      </c>
      <c r="AQ14" s="25" t="s">
        <f>=HYPERLINK("https://wj-collection-1258344706.cos.ap-guangzhou.myqcloud.com/formal/25118307/q-11-ZXt3/25118307_0_1b635af9bf68e0849ffbb4e6fec300cc.jpg?q-sign-algorithm=sha1&amp;q-ak=AKID3dz5uN4cMpGamjMvBaySkOoxwmMgMacO&amp;q-sign-time=1768053978%3B1768658778&amp;q-key-time=1768053978%3B1768658778&amp;q-header-list=host&amp;q-url-param-list=&amp;q-signature=f5a7d6e9d2d2f5c36b4711de9ba98d589793ca6c","mmexport1765729260989.jpg(链接7天有效，失效请重新同步)")</f>
        <v>249</v>
      </c>
      <c r="AR14" s="25" t="s">
        <f>=HYPERLINK("https://wj-collection-1258344706.cos.ap-guangzhou.myqcloud.com/formal/25118307/q-11-ZXt3/25118307_0_5169417e81dbda252b3baaa69304f0dc.jpg?q-sign-algorithm=sha1&amp;q-ak=AKID3dz5uN4cMpGamjMvBaySkOoxwmMgMacO&amp;q-sign-time=1768053978%3B1768658778&amp;q-key-time=1768053978%3B1768658778&amp;q-header-list=host&amp;q-url-param-list=&amp;q-signature=416d6c1faca8e94cc62b564b6735e48a1d31d62a","mmexport1765729321800.jpg(链接7天有效，失效请重新同步)")</f>
        <v>250</v>
      </c>
      <c r="AS14" s="25" t="s">
        <v>251</v>
      </c>
      <c r="AT14" s="25" t="s">
        <v>64</v>
      </c>
      <c r="AU14" s="25" t="s">
        <v>65</v>
      </c>
      <c r="AV14" s="25" t="s">
        <v>66</v>
      </c>
    </row>
    <row r="15" spans="1:48">
      <c r="A15" s="5">
        <v>14</v>
      </c>
      <c r="B15" s="12">
        <v>46006.6930324074</v>
      </c>
      <c r="C15" s="12">
        <v>46006.7019560185</v>
      </c>
      <c r="D15" s="13">
        <v>771</v>
      </c>
      <c r="E15" s="4" t="s">
        <v>37</v>
      </c>
      <c r="F15" s="4" t="s">
        <v>38</v>
      </c>
      <c r="G15" s="4" t="s">
        <v>39</v>
      </c>
      <c r="H15" s="14" t="s"/>
      <c r="I15" s="4" t="s">
        <v>252</v>
      </c>
      <c r="J15" s="4" t="s">
        <v>253</v>
      </c>
      <c r="K15" s="14" t="s"/>
      <c r="L15" s="4" t="s">
        <v>254</v>
      </c>
      <c r="M15" s="14" t="s"/>
      <c r="N15" s="14" t="s"/>
      <c r="O15" s="14" t="s"/>
      <c r="P15" s="14" t="s"/>
      <c r="Q15" s="14" t="s"/>
      <c r="R15" s="14" t="s"/>
      <c r="S15" s="14" t="s"/>
      <c r="T15" s="14" t="s"/>
      <c r="U15" s="14" t="s"/>
      <c r="V15" t="s">
        <v>255</v>
      </c>
      <c r="W15" t="s">
        <v>256</v>
      </c>
      <c r="X15" t="s">
        <v>257</v>
      </c>
      <c r="Y15" t="s">
        <v>258</v>
      </c>
      <c r="Z15" t="s">
        <v>259</v>
      </c>
      <c r="AA15" t="s">
        <v>260</v>
      </c>
      <c r="AB15" t="s">
        <v>261</v>
      </c>
      <c r="AC15" t="s">
        <v>262</v>
      </c>
      <c r="AD15" t="s">
        <v>263</v>
      </c>
      <c r="AE15" t="s">
        <v>264</v>
      </c>
      <c r="AF15" t="s">
        <v>265</v>
      </c>
      <c r="AG15" t="s">
        <v>266</v>
      </c>
      <c r="AI15" s="4" t="s">
        <v>55</v>
      </c>
      <c r="AJ15" s="4" t="s">
        <f>=HYPERLINK("https://wj-collection-1258344706.cos.ap-guangzhou.myqcloud.com/formal/25118307/q-11-ZXt3/25118307_0_e68ae1704a1a95e973218f68561ccf53.docx?q-sign-algorithm=sha1&amp;q-ak=AKID3dz5uN4cMpGamjMvBaySkOoxwmMgMacO&amp;q-sign-time=1768053978%3B1768658778&amp;q-key-time=1768053978%3B1768658778&amp;q-header-list=host&amp;q-url-param-list=&amp;q-signature=618b47106ac4e53daa335288c5c8058dd763a12d","评委量准.docx(链接7天有效，失效请重新同步)")</f>
        <v>267</v>
      </c>
      <c r="AK15" s="14" t="s"/>
      <c r="AL15" s="14" t="s"/>
      <c r="AM15" s="14" t="s"/>
      <c r="AN15" s="14" t="s"/>
      <c r="AO15" s="14" t="s"/>
      <c r="AP15" s="14" t="s"/>
      <c r="AQ15" s="14" t="s"/>
      <c r="AR15" s="14" t="s"/>
      <c r="AS15" s="14" t="s"/>
      <c r="AT15" s="4" t="s">
        <v>64</v>
      </c>
      <c r="AU15" s="4" t="s">
        <v>65</v>
      </c>
      <c r="AV15" s="4" t="s">
        <v>66</v>
      </c>
    </row>
    <row r="16" spans="1:48">
      <c r="A16" s="5">
        <v>15</v>
      </c>
      <c r="B16" s="12">
        <v>46006.7200462962</v>
      </c>
      <c r="C16" s="12">
        <v>46006.7289120371</v>
      </c>
      <c r="D16" s="13">
        <v>766</v>
      </c>
      <c r="E16" s="4" t="s">
        <v>37</v>
      </c>
      <c r="F16" s="4" t="s">
        <v>268</v>
      </c>
      <c r="G16" s="4" t="s">
        <v>269</v>
      </c>
      <c r="H16" s="14" t="s"/>
      <c r="I16" s="4" t="s">
        <v>270</v>
      </c>
      <c r="J16" s="4" t="s">
        <v>271</v>
      </c>
      <c r="K16" s="14" t="s"/>
      <c r="L16" s="4" t="s">
        <v>272</v>
      </c>
      <c r="M16" s="14" t="s"/>
      <c r="N16" s="14" t="s"/>
      <c r="O16" s="14" t="s"/>
      <c r="P16" s="14" t="s"/>
      <c r="Q16" s="14" t="s"/>
      <c r="R16" s="14" t="s"/>
      <c r="S16" s="14" t="s"/>
      <c r="T16" s="14" t="s"/>
      <c r="U16" s="14" t="s"/>
      <c r="V16" t="s">
        <v>273</v>
      </c>
      <c r="W16" t="s">
        <v>274</v>
      </c>
      <c r="X16" t="s">
        <v>275</v>
      </c>
      <c r="Y16" t="s">
        <v>276</v>
      </c>
      <c r="Z16" t="s">
        <v>277</v>
      </c>
      <c r="AA16" t="s">
        <v>278</v>
      </c>
      <c r="AB16" t="s">
        <v>279</v>
      </c>
      <c r="AC16" t="s">
        <v>280</v>
      </c>
      <c r="AD16" t="s">
        <v>281</v>
      </c>
      <c r="AE16" t="s">
        <v>282</v>
      </c>
      <c r="AF16" t="s">
        <v>283</v>
      </c>
      <c r="AG16" t="s">
        <v>284</v>
      </c>
      <c r="AI16" s="4" t="s">
        <v>55</v>
      </c>
      <c r="AJ16" s="4" t="s">
        <f>=HYPERLINK("https://wj-collection-1258344706.cos.ap-guangzhou.myqcloud.com/formal/25118307/q-11-ZXt3/25118307_0_44b64d131780391714b9270c553145cb.jpg?q-sign-algorithm=sha1&amp;q-ak=AKID3dz5uN4cMpGamjMvBaySkOoxwmMgMacO&amp;q-sign-time=1768053978%3B1768658778&amp;q-key-time=1768053978%3B1768658778&amp;q-header-list=host&amp;q-url-param-list=&amp;q-signature=f7150bcc6ba7d283c4ac464a6816d716afe225b9","Screenshot_20251215_172706_com.tencent.mm_edit_81405356573424.jpg(链接7天有效，失效请重新同步)")</f>
        <v>285</v>
      </c>
      <c r="AK16" s="4" t="s">
        <f>=HYPERLINK("https://wj-collection-1258344706.cos.ap-guangzhou.myqcloud.com/formal/25118307/q-11-ZXt3/25118307_0_58f2af7587cebe8ff9e6d814b215c03b.jpg?q-sign-algorithm=sha1&amp;q-ak=AKID3dz5uN4cMpGamjMvBaySkOoxwmMgMacO&amp;q-sign-time=1768053978%3B1768658778&amp;q-key-time=1768053978%3B1768658778&amp;q-header-list=host&amp;q-url-param-list=&amp;q-signature=9571bc03a0c065216167e69f2682639bbbbf8efc","mmexport1765790774606.jpg(链接7天有效，失效请重新同步)")</f>
        <v>286</v>
      </c>
      <c r="AL16" s="4" t="s">
        <f>=HYPERLINK("https://wj-collection-1258344706.cos.ap-guangzhou.myqcloud.com/formal/25118307/q-11-ZXt3/25118307_0_d5ca121d0bcf082bced98b3ef99ef92e.jpg?q-sign-algorithm=sha1&amp;q-ak=AKID3dz5uN4cMpGamjMvBaySkOoxwmMgMacO&amp;q-sign-time=1768053978%3B1768658778&amp;q-key-time=1768053978%3B1768658778&amp;q-header-list=host&amp;q-url-param-list=&amp;q-signature=aff63f406b1eca1712ffd64fbc55ad0b0956bfa5","mmexport1765790388777.jpg(链接7天有效，失效请重新同步)")</f>
        <v>287</v>
      </c>
      <c r="AM16" s="4" t="s">
        <f>=HYPERLINK("https://wj-collection-1258344706.cos.ap-guangzhou.myqcloud.com/formal/25118307/q-11-ZXt3/25118307_0_176ab23ff11505fae25a52aeb2aa8f1e.jpg?q-sign-algorithm=sha1&amp;q-ak=AKID3dz5uN4cMpGamjMvBaySkOoxwmMgMacO&amp;q-sign-time=1768053978%3B1768658778&amp;q-key-time=1768053978%3B1768658778&amp;q-header-list=host&amp;q-url-param-list=&amp;q-signature=86f209126a98c899023c32a565b4a4a74be0f687","mmexport1765790387285.jpg(链接7天有效，失效请重新同步)")</f>
        <v>288</v>
      </c>
      <c r="AN16" s="4" t="s">
        <f>=HYPERLINK("https://wj-collection-1258344706.cos.ap-guangzhou.myqcloud.com/formal/25118307/q-11-ZXt3/25118307_0_83202153373636206df0ee69f2253b26.jpg?q-sign-algorithm=sha1&amp;q-ak=AKID3dz5uN4cMpGamjMvBaySkOoxwmMgMacO&amp;q-sign-time=1768053978%3B1768658778&amp;q-key-time=1768053978%3B1768658778&amp;q-header-list=host&amp;q-url-param-list=&amp;q-signature=2a5711183f37b342dbb535a9bb92c35fb85a7208","mmexport1765790385813.jpg(链接7天有效，失效请重新同步)")</f>
        <v>289</v>
      </c>
      <c r="AO16" s="4" t="s">
        <f>=HYPERLINK("https://wj-collection-1258344706.cos.ap-guangzhou.myqcloud.com/formal/25118307/q-11-ZXt3/25118307_0_c00cbfe04a4a5ff4454931185b4ad4dd.jpg?q-sign-algorithm=sha1&amp;q-ak=AKID3dz5uN4cMpGamjMvBaySkOoxwmMgMacO&amp;q-sign-time=1768053978%3B1768658778&amp;q-key-time=1768053978%3B1768658778&amp;q-header-list=host&amp;q-url-param-list=&amp;q-signature=4773cd9e5612d0a99bf4abf8269cab29ae9998c7","mmexport1765790384435.jpg(链接7天有效，失效请重新同步)")</f>
        <v>290</v>
      </c>
      <c r="AP16" s="4" t="s">
        <f>=HYPERLINK("https://wj-collection-1258344706.cos.ap-guangzhou.myqcloud.com/formal/25118307/q-11-ZXt3/25118307_0_d6ba4b1892b726205f2daab67e92b65f.jpg?q-sign-algorithm=sha1&amp;q-ak=AKID3dz5uN4cMpGamjMvBaySkOoxwmMgMacO&amp;q-sign-time=1768053978%3B1768658778&amp;q-key-time=1768053978%3B1768658778&amp;q-header-list=host&amp;q-url-param-list=&amp;q-signature=6e17702c278256aeaa8318c803ecac1326d5a0d9","mmexport1765790383104.jpg(链接7天有效，失效请重新同步)")</f>
        <v>291</v>
      </c>
      <c r="AQ16" s="14" t="s"/>
      <c r="AR16" s="14" t="s"/>
      <c r="AS16" s="14" t="s"/>
      <c r="AT16" s="4" t="s">
        <v>64</v>
      </c>
      <c r="AU16" s="4" t="s">
        <v>65</v>
      </c>
      <c r="AV16" s="4" t="s">
        <v>66</v>
      </c>
    </row>
    <row r="17" spans="1:48">
      <c r="A17" s="5">
        <v>16</v>
      </c>
      <c r="B17" s="12">
        <v>46006.774837963</v>
      </c>
      <c r="C17" s="12">
        <v>46006.7979513889</v>
      </c>
      <c r="D17" s="13">
        <v>1997</v>
      </c>
      <c r="E17" s="4" t="s">
        <v>37</v>
      </c>
      <c r="F17" s="4" t="s">
        <v>292</v>
      </c>
      <c r="G17" s="4" t="s">
        <v>293</v>
      </c>
      <c r="H17" s="14" t="s"/>
      <c r="I17" s="4" t="s">
        <v>294</v>
      </c>
      <c r="J17" s="4" t="s">
        <v>79</v>
      </c>
      <c r="K17" s="14" t="s"/>
      <c r="L17" s="4" t="s">
        <v>295</v>
      </c>
      <c r="M17" s="14" t="s"/>
      <c r="N17" s="14" t="s"/>
      <c r="O17" s="14" t="s"/>
      <c r="P17" s="14" t="s"/>
      <c r="Q17" s="14" t="s"/>
      <c r="R17" s="14" t="s"/>
      <c r="S17" s="14" t="s"/>
      <c r="T17" s="14" t="s"/>
      <c r="U17" s="14" t="s"/>
      <c r="V17" t="s">
        <v>296</v>
      </c>
      <c r="W17" t="s">
        <v>297</v>
      </c>
      <c r="X17" t="s">
        <v>298</v>
      </c>
      <c r="Y17" t="s">
        <v>299</v>
      </c>
      <c r="Z17" t="s">
        <v>300</v>
      </c>
      <c r="AA17" t="s">
        <v>301</v>
      </c>
      <c r="AB17" t="s">
        <v>302</v>
      </c>
      <c r="AC17" t="s">
        <v>303</v>
      </c>
      <c r="AD17" t="s">
        <v>304</v>
      </c>
      <c r="AE17" t="s">
        <v>305</v>
      </c>
      <c r="AF17" t="s">
        <v>306</v>
      </c>
      <c r="AG17" t="s">
        <v>307</v>
      </c>
      <c r="AI17" s="4" t="s">
        <v>55</v>
      </c>
      <c r="AJ17" s="4" t="s">
        <f>=HYPERLINK("https://wj-collection-1258344706.cos.ap-guangzhou.myqcloud.com/formal/25118307/q-11-ZXt3/25118307_0_f87a5189d153024592f1db9af3792d0c.jpg?q-sign-algorithm=sha1&amp;q-ak=AKID3dz5uN4cMpGamjMvBaySkOoxwmMgMacO&amp;q-sign-time=1768053978%3B1768658778&amp;q-key-time=1768053978%3B1768658778&amp;q-header-list=host&amp;q-url-param-list=&amp;q-signature=f929a74aea0a2651e3ef2164162a31ab87b1b936","微信图片_20251215190036_153_761.jpg(链接7天有效，失效请重新同步)")</f>
        <v>308</v>
      </c>
      <c r="AK17" s="4" t="s">
        <f>=HYPERLINK("https://wj-collection-1258344706.cos.ap-guangzhou.myqcloud.com/formal/25118307/q-11-ZXt3/25118307_0_172990ddd493e79f3463e4b7659388de.jpg?q-sign-algorithm=sha1&amp;q-ak=AKID3dz5uN4cMpGamjMvBaySkOoxwmMgMacO&amp;q-sign-time=1768053978%3B1768658778&amp;q-key-time=1768053978%3B1768658778&amp;q-header-list=host&amp;q-url-param-list=&amp;q-signature=63ec1f0d0332ad017f359a0934149757d3394dc7","微信图片_20251215190037_154_761.jpg(链接7天有效，失效请重新同步)")</f>
        <v>309</v>
      </c>
      <c r="AL17" s="4" t="s">
        <f>=HYPERLINK("https://wj-collection-1258344706.cos.ap-guangzhou.myqcloud.com/formal/25118307/q-11-ZXt3/25118307_0_aadf71dafdc071d1c9bac9f002764e5f.jpg?q-sign-algorithm=sha1&amp;q-ak=AKID3dz5uN4cMpGamjMvBaySkOoxwmMgMacO&amp;q-sign-time=1768053978%3B1768658778&amp;q-key-time=1768053978%3B1768658778&amp;q-header-list=host&amp;q-url-param-list=&amp;q-signature=1cea800b994e8262ff77fc1a2b23befef6635a22","微信图片_20251215190038_155_761.jpg(链接7天有效，失效请重新同步)")</f>
        <v>310</v>
      </c>
      <c r="AM17" s="4" t="s">
        <f>=HYPERLINK("https://wj-collection-1258344706.cos.ap-guangzhou.myqcloud.com/formal/25118307/q-11-ZXt3/25118307_0_4e4e19a6362458f24ff3ce4562287803.jpg?q-sign-algorithm=sha1&amp;q-ak=AKID3dz5uN4cMpGamjMvBaySkOoxwmMgMacO&amp;q-sign-time=1768053978%3B1768658778&amp;q-key-time=1768053978%3B1768658778&amp;q-header-list=host&amp;q-url-param-list=&amp;q-signature=ef6f69776e03c11ecc0e9a87a6f35e9735867040","微信图片_20251215190735_886_44.jpg(链接7天有效，失效请重新同步)")</f>
        <v>311</v>
      </c>
      <c r="AN17" s="14" t="s"/>
      <c r="AO17" s="14" t="s"/>
      <c r="AP17" s="14" t="s"/>
      <c r="AQ17" s="14" t="s"/>
      <c r="AR17" s="14" t="s"/>
      <c r="AS17" s="4" t="s">
        <v>312</v>
      </c>
      <c r="AT17" s="4" t="s">
        <v>64</v>
      </c>
      <c r="AU17" s="4" t="s">
        <v>65</v>
      </c>
      <c r="AV17" s="4" t="s">
        <v>66</v>
      </c>
    </row>
    <row r="18" spans="1:48">
      <c r="A18" s="5">
        <v>17</v>
      </c>
      <c r="B18" s="12">
        <v>46006.9369444444</v>
      </c>
      <c r="C18" s="12">
        <v>46006.9376273148</v>
      </c>
      <c r="D18" s="13">
        <v>59</v>
      </c>
      <c r="E18" s="4" t="s">
        <v>37</v>
      </c>
      <c r="F18" s="4" t="s">
        <v>313</v>
      </c>
      <c r="G18" s="14" t="s"/>
      <c r="H18" s="14" t="s"/>
      <c r="I18" s="4" t="s">
        <v>314</v>
      </c>
      <c r="J18" s="4" t="s">
        <v>315</v>
      </c>
      <c r="K18" s="4" t="s">
        <v>316</v>
      </c>
      <c r="L18" s="19" t="s">
        <v>317</v>
      </c>
      <c r="M18" s="14" t="s"/>
      <c r="N18" s="14" t="s"/>
      <c r="O18" s="14" t="s"/>
      <c r="P18" s="14" t="s"/>
      <c r="Q18" s="14" t="s"/>
      <c r="R18" s="14" t="s"/>
      <c r="S18" s="14" t="s"/>
      <c r="T18" s="14" t="s"/>
      <c r="U18" s="14" t="s"/>
      <c r="V18" t="s">
        <v>318</v>
      </c>
      <c r="W18" t="s">
        <v>319</v>
      </c>
      <c r="X18" t="s">
        <v>320</v>
      </c>
      <c r="Y18" t="s">
        <v>321</v>
      </c>
      <c r="Z18" t="s">
        <v>322</v>
      </c>
      <c r="AA18" t="s">
        <v>323</v>
      </c>
      <c r="AB18" t="s">
        <v>324</v>
      </c>
      <c r="AC18" t="s">
        <v>325</v>
      </c>
      <c r="AD18" t="s">
        <v>326</v>
      </c>
      <c r="AE18" t="s">
        <v>327</v>
      </c>
      <c r="AF18" t="s">
        <v>328</v>
      </c>
      <c r="AG18" t="s">
        <v>329</v>
      </c>
      <c r="AI18" s="4" t="s">
        <v>55</v>
      </c>
      <c r="AJ18" s="4" t="s">
        <f>=HYPERLINK("https://wj-collection-1258344706.cos.ap-guangzhou.myqcloud.com/formal/25118307/q-11-ZXt3/25118307_0_a1a4246b473e9c98be4d982aedcbd654.jpeg?q-sign-algorithm=sha1&amp;q-ak=AKID3dz5uN4cMpGamjMvBaySkOoxwmMgMacO&amp;q-sign-time=1768053978%3B1768658778&amp;q-key-time=1768053978%3B1768658778&amp;q-header-list=host&amp;q-url-param-list=&amp;q-signature=de243c9d2cded7c6963df28f5e13242486b87203","IMG_4466.jpeg(链接7天有效，失效请重新同步)")</f>
        <v>330</v>
      </c>
      <c r="AK18" s="4" t="s">
        <f>=HYPERLINK("https://wj-collection-1258344706.cos.ap-guangzhou.myqcloud.com/formal/25118307/q-11-ZXt3/25118307_0_24f3fc6b72c8fb11c6d3e83a4879bedb.jpeg?q-sign-algorithm=sha1&amp;q-ak=AKID3dz5uN4cMpGamjMvBaySkOoxwmMgMacO&amp;q-sign-time=1768053978%3B1768658778&amp;q-key-time=1768053978%3B1768658778&amp;q-header-list=host&amp;q-url-param-list=&amp;q-signature=aa9346bfd175a58207bcfb73117617e54c8a0a5c","IMG_4467.jpeg(链接7天有效，失效请重新同步)")</f>
        <v>331</v>
      </c>
      <c r="AL18" s="4" t="s">
        <f>=HYPERLINK("https://wj-collection-1258344706.cos.ap-guangzhou.myqcloud.com/formal/25118307/q-11-ZXt3/25118307_0_a2e3ab6937dd7cc08274b6386d5beb2a.jpeg?q-sign-algorithm=sha1&amp;q-ak=AKID3dz5uN4cMpGamjMvBaySkOoxwmMgMacO&amp;q-sign-time=1768053978%3B1768658778&amp;q-key-time=1768053978%3B1768658778&amp;q-header-list=host&amp;q-url-param-list=&amp;q-signature=73f7670ae5b7c51c91a661fd12387f2a86a827ff","IMG_4468.jpeg(链接7天有效，失效请重新同步)")</f>
        <v>332</v>
      </c>
      <c r="AM18" s="4" t="s">
        <f>=HYPERLINK("https://wj-collection-1258344706.cos.ap-guangzhou.myqcloud.com/formal/25118307/q-11-ZXt3/25118307_0_d3798301d52cf1051ef338250adaa5bf.jpeg?q-sign-algorithm=sha1&amp;q-ak=AKID3dz5uN4cMpGamjMvBaySkOoxwmMgMacO&amp;q-sign-time=1768053978%3B1768658778&amp;q-key-time=1768053978%3B1768658778&amp;q-header-list=host&amp;q-url-param-list=&amp;q-signature=19143a14e4dddfb5d57f54a4fe12356eb9d7de97","IMG_4469.jpeg(链接7天有效，失效请重新同步)")</f>
        <v>333</v>
      </c>
      <c r="AN18" s="14" t="s"/>
      <c r="AO18" s="14" t="s"/>
      <c r="AP18" s="14" t="s"/>
      <c r="AQ18" s="14" t="s"/>
      <c r="AR18" s="14" t="s"/>
      <c r="AS18" s="4" t="s">
        <v>334</v>
      </c>
      <c r="AT18" s="4" t="s">
        <v>64</v>
      </c>
      <c r="AU18" s="4" t="s">
        <v>65</v>
      </c>
      <c r="AV18" s="4" t="s">
        <v>66</v>
      </c>
    </row>
    <row r="19" spans="1:48">
      <c r="A19" s="5">
        <v>18</v>
      </c>
      <c r="B19" s="12">
        <v>46007.035625</v>
      </c>
      <c r="C19" s="12">
        <v>46007.0500347222</v>
      </c>
      <c r="D19" s="13">
        <v>1245</v>
      </c>
      <c r="E19" s="4" t="s">
        <v>37</v>
      </c>
      <c r="F19" s="4" t="s">
        <v>226</v>
      </c>
      <c r="G19" s="14" t="s"/>
      <c r="H19" s="14" t="s"/>
      <c r="I19" s="4" t="s">
        <v>335</v>
      </c>
      <c r="J19" s="4" t="s">
        <v>336</v>
      </c>
      <c r="K19" s="14" t="s"/>
      <c r="L19" s="4" t="s">
        <v>337</v>
      </c>
      <c r="M19" s="14" t="s"/>
      <c r="N19" s="14" t="s"/>
      <c r="O19" s="14" t="s"/>
      <c r="P19" s="14" t="s"/>
      <c r="Q19" s="14" t="s"/>
      <c r="R19" s="14" t="s"/>
      <c r="S19" s="14" t="s"/>
      <c r="T19" s="14" t="s"/>
      <c r="U19" s="14" t="s"/>
      <c r="V19" t="s">
        <v>338</v>
      </c>
      <c r="W19" t="s">
        <v>339</v>
      </c>
      <c r="X19" t="s">
        <v>340</v>
      </c>
      <c r="Y19" t="s">
        <v>341</v>
      </c>
      <c r="Z19" t="s">
        <v>342</v>
      </c>
      <c r="AA19" t="s">
        <v>343</v>
      </c>
      <c r="AB19" t="s">
        <v>344</v>
      </c>
      <c r="AC19" t="s">
        <v>345</v>
      </c>
      <c r="AD19" t="s">
        <v>346</v>
      </c>
      <c r="AE19" t="s">
        <v>347</v>
      </c>
      <c r="AF19" t="s">
        <v>348</v>
      </c>
      <c r="AG19" s="28" t="s">
        <v>349</v>
      </c>
      <c r="AI19" s="4" t="s">
        <v>55</v>
      </c>
      <c r="AJ19" s="4" t="s">
        <f>=HYPERLINK("https://wj-collection-1258344706.cos.ap-guangzhou.myqcloud.com/formal/25118307/q-11-ZXt3/25118307_0_852c7f1b58d7ee4d50689ec9284b03fa.jpg?q-sign-algorithm=sha1&amp;q-ak=AKID3dz5uN4cMpGamjMvBaySkOoxwmMgMacO&amp;q-sign-time=1768053978%3B1768658778&amp;q-key-time=1768053978%3B1768658778&amp;q-header-list=host&amp;q-url-param-list=&amp;q-signature=92950939b19df2b45537cabc0126a68fb3665b26","Screenshot_20251215_214506_com_tencent_mobileqq_SplashActivity_edit_332655167194195.jpg(链接7天有效，失效请重新同步)")</f>
        <v>350</v>
      </c>
      <c r="AK19" s="14" t="s"/>
      <c r="AL19" s="14" t="s"/>
      <c r="AM19" s="14" t="s"/>
      <c r="AN19" s="14" t="s"/>
      <c r="AO19" s="14" t="s"/>
      <c r="AP19" s="14" t="s"/>
      <c r="AQ19" s="14" t="s"/>
      <c r="AR19" s="14" t="s"/>
      <c r="AS19" s="14" t="s"/>
      <c r="AT19" s="4" t="s">
        <v>64</v>
      </c>
      <c r="AU19" s="4" t="s">
        <v>65</v>
      </c>
      <c r="AV19" s="4" t="s">
        <v>66</v>
      </c>
    </row>
    <row r="20" spans="1:48">
      <c r="A20" s="5">
        <v>19</v>
      </c>
      <c r="B20" s="12">
        <v>46007.8604282407</v>
      </c>
      <c r="C20" s="12">
        <v>46007.8800694445</v>
      </c>
      <c r="D20" s="13">
        <v>1697</v>
      </c>
      <c r="E20" s="4" t="s">
        <v>37</v>
      </c>
      <c r="F20" s="4" t="s">
        <v>89</v>
      </c>
      <c r="G20" s="4" t="s">
        <v>89</v>
      </c>
      <c r="H20" s="14" t="s"/>
      <c r="I20" s="4" t="s">
        <v>351</v>
      </c>
      <c r="J20" s="4" t="s">
        <v>352</v>
      </c>
      <c r="K20" s="14" t="s"/>
      <c r="L20" s="19" t="s">
        <v>353</v>
      </c>
      <c r="M20" s="14" t="s"/>
      <c r="N20" s="14" t="s"/>
      <c r="O20" s="14" t="s"/>
      <c r="P20" s="14" t="s"/>
      <c r="Q20" s="14" t="s"/>
      <c r="R20" s="14" t="s"/>
      <c r="S20" s="14" t="s"/>
      <c r="T20" s="14" t="s"/>
      <c r="U20" s="14" t="s"/>
      <c r="V20" t="s">
        <v>354</v>
      </c>
      <c r="W20" t="s">
        <v>355</v>
      </c>
      <c r="X20" t="s">
        <v>356</v>
      </c>
      <c r="Y20" t="s">
        <v>357</v>
      </c>
      <c r="Z20" t="s">
        <v>358</v>
      </c>
      <c r="AA20" t="s">
        <v>359</v>
      </c>
      <c r="AB20" t="s">
        <v>360</v>
      </c>
      <c r="AC20" t="s">
        <v>361</v>
      </c>
      <c r="AD20" t="s">
        <v>362</v>
      </c>
      <c r="AE20" t="s">
        <v>363</v>
      </c>
      <c r="AF20" t="s">
        <v>364</v>
      </c>
      <c r="AG20" t="s">
        <v>365</v>
      </c>
      <c r="AI20" s="4" t="s">
        <v>55</v>
      </c>
      <c r="AJ20" s="4" t="s">
        <f>=HYPERLINK("https://wj-collection-1258344706.cos.ap-guangzhou.myqcloud.com/formal/25118307/q-11-ZXt3/25118307_0_53c8c9441ff0d7467e74096bded3bf2a.jpg?q-sign-algorithm=sha1&amp;q-ak=AKID3dz5uN4cMpGamjMvBaySkOoxwmMgMacO&amp;q-sign-time=1768053978%3B1768658778&amp;q-key-time=1768053978%3B1768658778&amp;q-header-list=host&amp;q-url-param-list=&amp;q-signature=c856e11c6235fc76cc15febfee1ca4dd6efa608e","Screenshot_20251216_205907.jpg(链接7天有效，失效请重新同步)")</f>
        <v>366</v>
      </c>
      <c r="AK20" s="4" t="s">
        <f>=HYPERLINK("https://wj-collection-1258344706.cos.ap-guangzhou.myqcloud.com/formal/25118307/q-11-ZXt3/25118307_0_b1aabf46c54c26a0cf497b8098dd1334.jpg?q-sign-algorithm=sha1&amp;q-ak=AKID3dz5uN4cMpGamjMvBaySkOoxwmMgMacO&amp;q-sign-time=1768053978%3B1768658778&amp;q-key-time=1768053978%3B1768658778&amp;q-header-list=host&amp;q-url-param-list=&amp;q-signature=f6a02cc4f970b081617b5f2a047eb8cd2e145c1f","mmexport1765889972512.jpg(链接7天有效，失效请重新同步)")</f>
        <v>367</v>
      </c>
      <c r="AL20" s="4" t="s">
        <f>=HYPERLINK("https://wj-collection-1258344706.cos.ap-guangzhou.myqcloud.com/formal/25118307/q-11-ZXt3/25118307_0_d3f308d3edc665270a9a6abd9bcb9b88.jpg?q-sign-algorithm=sha1&amp;q-ak=AKID3dz5uN4cMpGamjMvBaySkOoxwmMgMacO&amp;q-sign-time=1768053978%3B1768658778&amp;q-key-time=1768053978%3B1768658778&amp;q-header-list=host&amp;q-url-param-list=&amp;q-signature=adbf57bb43475b3c52446270f2e5114979a8433f","mmexport1765889977313.jpg(链接7天有效，失效请重新同步)")</f>
        <v>368</v>
      </c>
      <c r="AM20" s="4" t="s">
        <f>=HYPERLINK("https://wj-collection-1258344706.cos.ap-guangzhou.myqcloud.com/formal/25118307/q-11-ZXt3/25118307_0_91dbba8766e3688db2f3be46dcd3b166.jpg?q-sign-algorithm=sha1&amp;q-ak=AKID3dz5uN4cMpGamjMvBaySkOoxwmMgMacO&amp;q-sign-time=1768053978%3B1768658778&amp;q-key-time=1768053978%3B1768658778&amp;q-header-list=host&amp;q-url-param-list=&amp;q-signature=d7843b7cfdd412f4d79d0cc5796ea7fd618d6670","mmexport1765889989083.jpg(链接7天有效，失效请重新同步)")</f>
        <v>369</v>
      </c>
      <c r="AN20" s="4" t="s">
        <f>=HYPERLINK("https://wj-collection-1258344706.cos.ap-guangzhou.myqcloud.com/formal/25118307/q-11-ZXt3/25118307_0_da4ab7c90beb61313a55b91cbf196edc.jpg?q-sign-algorithm=sha1&amp;q-ak=AKID3dz5uN4cMpGamjMvBaySkOoxwmMgMacO&amp;q-sign-time=1768053978%3B1768658778&amp;q-key-time=1768053978%3B1768658778&amp;q-header-list=host&amp;q-url-param-list=&amp;q-signature=f4a8c0d39917dd81784d03eb38db676eba9112c5","mmexport1765890036658.jpg(链接7天有效，失效请重新同步)")</f>
        <v>370</v>
      </c>
      <c r="AO20" s="4" t="s">
        <f>=HYPERLINK("https://wj-collection-1258344706.cos.ap-guangzhou.myqcloud.com/formal/25118307/q-11-ZXt3/25118307_0_8200895949be16827ef624476f5af839.jpg?q-sign-algorithm=sha1&amp;q-ak=AKID3dz5uN4cMpGamjMvBaySkOoxwmMgMacO&amp;q-sign-time=1768053978%3B1768658778&amp;q-key-time=1768053978%3B1768658778&amp;q-header-list=host&amp;q-url-param-list=&amp;q-signature=bb0f3c7de6d0ad11f925192bacdefe5915a819ce","mmexport1765890125060.jpg(链接7天有效，失效请重新同步)")</f>
        <v>371</v>
      </c>
      <c r="AP20" s="4" t="s">
        <f>=HYPERLINK("https://wj-collection-1258344706.cos.ap-guangzhou.myqcloud.com/formal/25118307/q-11-ZXt3/25118307_0_1cac231f49ec1e0a449cacd1516490a8.jpg?q-sign-algorithm=sha1&amp;q-ak=AKID3dz5uN4cMpGamjMvBaySkOoxwmMgMacO&amp;q-sign-time=1768053978%3B1768658778&amp;q-key-time=1768053978%3B1768658778&amp;q-header-list=host&amp;q-url-param-list=&amp;q-signature=a59986eb4f151a95c4e8697587831c6857c8799e","mmexport1765890178960.jpg(链接7天有效，失效请重新同步)")</f>
        <v>372</v>
      </c>
      <c r="AQ20" s="4" t="s">
        <f>=HYPERLINK("https://wj-collection-1258344706.cos.ap-guangzhou.myqcloud.com/formal/25118307/q-11-ZXt3/25118307_0_d643a2f2d056ebb02d1cb9e6c76bce56.jpg?q-sign-algorithm=sha1&amp;q-ak=AKID3dz5uN4cMpGamjMvBaySkOoxwmMgMacO&amp;q-sign-time=1768053978%3B1768658778&amp;q-key-time=1768053978%3B1768658778&amp;q-header-list=host&amp;q-url-param-list=&amp;q-signature=df966aa99d4795402e556a81d93e0c5feb9c055e","mmexport1765890297505.jpg(链接7天有效，失效请重新同步)")</f>
        <v>373</v>
      </c>
      <c r="AR20" s="14" t="s"/>
      <c r="AS20" s="4" t="s">
        <v>374</v>
      </c>
      <c r="AT20" s="4" t="s">
        <v>64</v>
      </c>
      <c r="AU20" s="4" t="s">
        <v>65</v>
      </c>
      <c r="AV20" s="4" t="s">
        <v>66</v>
      </c>
    </row>
    <row r="21" spans="1:48">
      <c r="A21" s="5">
        <v>20</v>
      </c>
      <c r="B21" s="12">
        <v>46007.9188541667</v>
      </c>
      <c r="C21" s="12">
        <v>46007.9189699074</v>
      </c>
      <c r="D21" s="13">
        <v>10</v>
      </c>
      <c r="E21" s="4" t="s">
        <v>37</v>
      </c>
      <c r="F21" s="4" t="s">
        <v>173</v>
      </c>
      <c r="G21" s="14" t="s"/>
      <c r="H21" s="14" t="s"/>
      <c r="I21" s="4" t="s">
        <v>375</v>
      </c>
      <c r="J21" s="4" t="s">
        <v>376</v>
      </c>
      <c r="K21" s="14" t="s"/>
      <c r="L21" s="4" t="s">
        <v>377</v>
      </c>
      <c r="M21" s="14" t="s"/>
      <c r="N21" s="14" t="s"/>
      <c r="O21" s="14" t="s"/>
      <c r="P21" s="14" t="s"/>
      <c r="Q21" s="14" t="s"/>
      <c r="R21" s="14" t="s"/>
      <c r="S21" s="14" t="s"/>
      <c r="T21" s="14" t="s"/>
      <c r="U21" s="14" t="s"/>
      <c r="V21" t="s">
        <v>378</v>
      </c>
      <c r="W21" t="s">
        <v>379</v>
      </c>
      <c r="X21" t="s">
        <v>380</v>
      </c>
      <c r="Y21" t="s">
        <v>381</v>
      </c>
      <c r="Z21" t="s">
        <v>382</v>
      </c>
      <c r="AA21" t="s">
        <v>383</v>
      </c>
      <c r="AB21" t="s">
        <v>384</v>
      </c>
      <c r="AC21" t="s">
        <v>385</v>
      </c>
      <c r="AI21" s="4" t="s">
        <v>55</v>
      </c>
      <c r="AJ21" s="4" t="s">
        <f>=HYPERLINK("https://wj-collection-1258344706.cos.ap-guangzhou.myqcloud.com/formal/25118307/q-11-ZXt3/25118307_0_79ce211a6ced081b44d2a8247f352671.txt?q-sign-algorithm=sha1&amp;q-ak=AKID3dz5uN4cMpGamjMvBaySkOoxwmMgMacO&amp;q-sign-time=1768053978%3B1768658778&amp;q-key-time=1768053978%3B1768658778&amp;q-header-list=host&amp;q-url-param-list=&amp;q-signature=b96bb427643211e0806f6841dffe8671605559ea","文本.txt(链接7天有效，失效请重新同步)")</f>
        <v>386</v>
      </c>
      <c r="AK21" s="14" t="s"/>
      <c r="AL21" s="14" t="s"/>
      <c r="AM21" s="14" t="s"/>
      <c r="AN21" s="14" t="s"/>
      <c r="AO21" s="14" t="s"/>
      <c r="AP21" s="14" t="s"/>
      <c r="AQ21" s="14" t="s"/>
      <c r="AR21" s="14" t="s"/>
      <c r="AS21" s="14" t="s"/>
      <c r="AT21" s="4" t="s">
        <v>64</v>
      </c>
      <c r="AU21" s="4" t="s">
        <v>65</v>
      </c>
      <c r="AV21" s="4" t="s">
        <v>66</v>
      </c>
    </row>
    <row r="22" spans="1:48">
      <c r="A22" s="5">
        <v>21</v>
      </c>
      <c r="B22" s="12">
        <v>46008.8971990741</v>
      </c>
      <c r="C22" s="12">
        <v>46008.8975115741</v>
      </c>
      <c r="D22" s="13">
        <v>27</v>
      </c>
      <c r="E22" s="4" t="s">
        <v>37</v>
      </c>
      <c r="F22" s="4" t="s">
        <v>387</v>
      </c>
      <c r="G22" s="4" t="s">
        <v>388</v>
      </c>
      <c r="H22" s="14" t="s"/>
      <c r="I22" s="4" t="s">
        <v>389</v>
      </c>
      <c r="J22" s="4" t="s">
        <v>390</v>
      </c>
      <c r="K22" s="14" t="s"/>
      <c r="L22" s="19" t="s">
        <v>391</v>
      </c>
      <c r="M22" s="14" t="s"/>
      <c r="N22" s="14" t="s"/>
      <c r="O22" s="14" t="s"/>
      <c r="P22" s="14" t="s"/>
      <c r="Q22" s="14" t="s"/>
      <c r="R22" s="14" t="s"/>
      <c r="S22" s="14" t="s"/>
      <c r="T22" s="14" t="s"/>
      <c r="U22" s="14" t="s"/>
      <c r="V22" t="s">
        <v>392</v>
      </c>
      <c r="W22" t="s">
        <v>393</v>
      </c>
      <c r="X22" t="s">
        <v>394</v>
      </c>
      <c r="Y22" t="s">
        <v>395</v>
      </c>
      <c r="Z22" t="s">
        <v>396</v>
      </c>
      <c r="AA22" t="s">
        <v>397</v>
      </c>
      <c r="AB22" t="s">
        <v>398</v>
      </c>
      <c r="AC22" t="s">
        <v>399</v>
      </c>
      <c r="AD22" t="s">
        <v>400</v>
      </c>
      <c r="AE22" t="s">
        <v>401</v>
      </c>
      <c r="AF22" t="s">
        <v>402</v>
      </c>
      <c r="AG22" t="s">
        <v>403</v>
      </c>
      <c r="AH22" t="s">
        <v>404</v>
      </c>
      <c r="AI22" s="4" t="s">
        <v>55</v>
      </c>
      <c r="AJ22" s="14" t="s"/>
      <c r="AK22" s="14" t="s"/>
      <c r="AL22" s="14" t="s"/>
      <c r="AM22" s="14" t="s"/>
      <c r="AN22" s="14" t="s"/>
      <c r="AO22" s="14" t="s"/>
      <c r="AP22" s="14" t="s"/>
      <c r="AQ22" s="14" t="s"/>
      <c r="AR22" s="14" t="s"/>
      <c r="AS22" s="14" t="s"/>
      <c r="AT22" s="4" t="s">
        <v>64</v>
      </c>
      <c r="AU22" s="4" t="s">
        <v>65</v>
      </c>
      <c r="AV22" s="4" t="s">
        <v>66</v>
      </c>
    </row>
    <row r="23" spans="1:48">
      <c r="A23" s="5">
        <v>22</v>
      </c>
      <c r="B23" s="12">
        <v>46008.998275463</v>
      </c>
      <c r="C23" s="12">
        <v>46009.0171990741</v>
      </c>
      <c r="D23" s="13">
        <v>1635</v>
      </c>
      <c r="E23" s="4" t="s">
        <v>37</v>
      </c>
      <c r="F23" s="4" t="s">
        <v>405</v>
      </c>
      <c r="G23" s="4" t="s">
        <v>406</v>
      </c>
      <c r="H23" s="14" t="s"/>
      <c r="I23" s="4" t="s">
        <v>407</v>
      </c>
      <c r="J23" s="4" t="s">
        <v>408</v>
      </c>
      <c r="K23" s="4" t="s">
        <v>80</v>
      </c>
      <c r="L23" s="19" t="s">
        <v>409</v>
      </c>
      <c r="M23" s="14" t="s"/>
      <c r="N23" s="14" t="s"/>
      <c r="O23" s="14" t="s"/>
      <c r="P23" s="14" t="s"/>
      <c r="Q23" s="14" t="s"/>
      <c r="R23" s="14" t="s"/>
      <c r="S23" s="14" t="s"/>
      <c r="T23" s="14" t="s"/>
      <c r="U23" s="14" t="s"/>
      <c r="V23" t="s">
        <v>410</v>
      </c>
      <c r="W23" t="s">
        <v>411</v>
      </c>
      <c r="X23" t="s">
        <v>412</v>
      </c>
      <c r="Y23" t="s">
        <v>413</v>
      </c>
      <c r="Z23" t="s">
        <v>414</v>
      </c>
      <c r="AA23" t="s">
        <v>415</v>
      </c>
      <c r="AB23" t="s">
        <v>416</v>
      </c>
      <c r="AC23" t="s">
        <v>417</v>
      </c>
      <c r="AD23" t="s">
        <v>418</v>
      </c>
      <c r="AE23" t="s">
        <v>419</v>
      </c>
      <c r="AF23" t="s">
        <v>420</v>
      </c>
      <c r="AG23" t="s">
        <v>421</v>
      </c>
      <c r="AI23" s="4" t="s">
        <v>55</v>
      </c>
      <c r="AJ23" s="4" t="s">
        <f>=HYPERLINK("https://wj-collection-1258344706.cos.ap-guangzhou.myqcloud.com/formal/25118307/q-11-ZXt3/25118307_0_41ab14f48316dd8cb971f2d7a6597135.docx?q-sign-algorithm=sha1&amp;q-ak=AKID3dz5uN4cMpGamjMvBaySkOoxwmMgMacO&amp;q-sign-time=1768053978%3B1768658778&amp;q-key-time=1768053978%3B1768658778&amp;q-header-list=host&amp;q-url-param-list=&amp;q-signature=467a3d8693bfbc5a217aab2a4501d64031793c4c","温良恭谨随评王楷添.docx(链接7天有效，失效请重新同步)")</f>
        <v>422</v>
      </c>
      <c r="AK23" s="14" t="s"/>
      <c r="AL23" s="14" t="s"/>
      <c r="AM23" s="14" t="s"/>
      <c r="AN23" s="14" t="s"/>
      <c r="AO23" s="14" t="s"/>
      <c r="AP23" s="14" t="s"/>
      <c r="AQ23" s="14" t="s"/>
      <c r="AR23" s="14" t="s"/>
      <c r="AS23" s="14" t="s"/>
      <c r="AT23" s="4" t="s">
        <v>64</v>
      </c>
      <c r="AU23" s="4" t="s">
        <v>65</v>
      </c>
      <c r="AV23" s="4" t="s">
        <v>66</v>
      </c>
    </row>
    <row r="24" spans="1:48">
      <c r="A24" s="5">
        <v>23</v>
      </c>
      <c r="B24" s="12">
        <v>46009.6243634259</v>
      </c>
      <c r="C24" s="12">
        <v>46009.6360185185</v>
      </c>
      <c r="D24" s="13">
        <v>1007</v>
      </c>
      <c r="E24" s="4" t="s">
        <v>37</v>
      </c>
      <c r="F24" s="4" t="s">
        <v>98</v>
      </c>
      <c r="G24" s="4" t="s">
        <v>98</v>
      </c>
      <c r="H24" s="14" t="s"/>
      <c r="I24" s="4" t="s">
        <v>423</v>
      </c>
      <c r="J24" s="4" t="s">
        <v>424</v>
      </c>
      <c r="K24" s="4" t="s">
        <v>80</v>
      </c>
      <c r="L24" s="4" t="s">
        <v>425</v>
      </c>
      <c r="M24" s="14" t="s"/>
      <c r="N24" s="14" t="s"/>
      <c r="O24" s="14" t="s"/>
      <c r="P24" s="14" t="s"/>
      <c r="Q24" s="14" t="s"/>
      <c r="R24" s="14" t="s"/>
      <c r="S24" s="14" t="s"/>
      <c r="T24" s="14" t="s"/>
      <c r="U24" s="14" t="s"/>
      <c r="V24" t="s">
        <v>426</v>
      </c>
      <c r="W24" t="s">
        <v>427</v>
      </c>
      <c r="X24" t="s">
        <v>428</v>
      </c>
      <c r="Y24" t="s">
        <v>429</v>
      </c>
      <c r="Z24" t="s">
        <v>430</v>
      </c>
      <c r="AA24" t="s">
        <v>431</v>
      </c>
      <c r="AB24" t="s">
        <v>432</v>
      </c>
      <c r="AC24" t="s">
        <v>433</v>
      </c>
      <c r="AD24" t="s">
        <v>434</v>
      </c>
      <c r="AE24" t="s">
        <v>435</v>
      </c>
      <c r="AF24" t="s">
        <v>436</v>
      </c>
      <c r="AG24" t="s">
        <v>437</v>
      </c>
      <c r="AI24" s="4" t="s">
        <v>55</v>
      </c>
      <c r="AJ24" s="4" t="s">
        <f>=HYPERLINK("https://wj-collection-1258344706.cos.ap-guangzhou.myqcloud.com/formal/25118307/q-11-ZXt3/25118307_0_cbd7812fd2854f7e4b1cf868f52eb8db.zip?q-sign-algorithm=sha1&amp;q-ak=AKID3dz5uN4cMpGamjMvBaySkOoxwmMgMacO&amp;q-sign-time=1768053978%3B1768658778&amp;q-key-time=1768053978%3B1768658778&amp;q-header-list=host&amp;q-url-param-list=&amp;q-signature=abbce5dcfa90906c20ae0848759b15fdb62b49c3","周书成-西南民族大学-评委履历.zip(链接7天有效，失效请重新同步)")</f>
        <v>438</v>
      </c>
      <c r="AK24" s="14" t="s"/>
      <c r="AL24" s="14" t="s"/>
      <c r="AM24" s="14" t="s"/>
      <c r="AN24" s="14" t="s"/>
      <c r="AO24" s="14" t="s"/>
      <c r="AP24" s="14" t="s"/>
      <c r="AQ24" s="14" t="s"/>
      <c r="AR24" s="14" t="s"/>
      <c r="AS24" s="4" t="s">
        <v>439</v>
      </c>
      <c r="AT24" s="4" t="s">
        <v>64</v>
      </c>
      <c r="AU24" s="4" t="s">
        <v>65</v>
      </c>
      <c r="AV24" s="4" t="s">
        <v>66</v>
      </c>
    </row>
    <row r="25" spans="1:48">
      <c r="A25" s="5">
        <v>24</v>
      </c>
      <c r="B25" s="12">
        <v>46008.828900463</v>
      </c>
      <c r="C25" s="12">
        <v>46009.7307175926</v>
      </c>
      <c r="D25" s="13">
        <v>77917</v>
      </c>
      <c r="E25" s="4" t="s">
        <v>37</v>
      </c>
      <c r="F25" s="4" t="s">
        <v>268</v>
      </c>
      <c r="G25" s="4" t="s">
        <v>269</v>
      </c>
      <c r="H25" s="14" t="s"/>
      <c r="I25" s="4" t="s">
        <v>440</v>
      </c>
      <c r="J25" s="4" t="s">
        <v>441</v>
      </c>
      <c r="K25" s="14" t="s"/>
      <c r="L25" s="4" t="s">
        <v>442</v>
      </c>
      <c r="M25" s="14" t="s"/>
      <c r="N25" s="14" t="s"/>
      <c r="O25" s="14" t="s"/>
      <c r="P25" s="14" t="s"/>
      <c r="Q25" s="14" t="s"/>
      <c r="R25" s="14" t="s"/>
      <c r="S25" s="14" t="s"/>
      <c r="T25" s="14" t="s"/>
      <c r="U25" s="14" t="s"/>
      <c r="V25" t="s">
        <v>443</v>
      </c>
      <c r="W25" t="s">
        <v>444</v>
      </c>
      <c r="X25" t="s">
        <v>445</v>
      </c>
      <c r="Y25" t="s">
        <v>446</v>
      </c>
      <c r="Z25" t="s">
        <v>447</v>
      </c>
      <c r="AA25" t="s">
        <v>448</v>
      </c>
      <c r="AB25" t="s">
        <v>449</v>
      </c>
      <c r="AC25" t="s">
        <v>450</v>
      </c>
      <c r="AD25" s="15" t="s">
        <v>451</v>
      </c>
      <c r="AE25" s="15" t="s">
        <v>452</v>
      </c>
      <c r="AF25" s="15" t="s">
        <v>453</v>
      </c>
      <c r="AG25" t="s">
        <v>454</v>
      </c>
      <c r="AI25" s="4" t="s">
        <v>55</v>
      </c>
      <c r="AJ25" s="4" t="s">
        <f>=HYPERLINK("https://wj-collection-1258344706.cos.ap-guangzhou.myqcloud.com/formal/25118307/q-11-ZXt3/25118307_0_417f4049a583dee99e082f55e5cd20b9.jpg?q-sign-algorithm=sha1&amp;q-ak=AKID3dz5uN4cMpGamjMvBaySkOoxwmMgMacO&amp;q-sign-time=1768053978%3B1768658778&amp;q-key-time=1768053978%3B1768658778&amp;q-header-list=host&amp;q-url-param-list=&amp;q-signature=6690abfd0408399a6a823369b176c2529a082477","Weixin Image_20251218173056_36_1955.jpg(链接7天有效，失效请重新同步)")</f>
        <v>455</v>
      </c>
      <c r="AK25" s="4" t="s">
        <f>=HYPERLINK("https://wj-collection-1258344706.cos.ap-guangzhou.myqcloud.com/formal/25118307/q-11-ZXt3/25118307_0_d6a401a56cdfea2bada6143a9f7d1fcb.jpg?q-sign-algorithm=sha1&amp;q-ak=AKID3dz5uN4cMpGamjMvBaySkOoxwmMgMacO&amp;q-sign-time=1768053978%3B1768658778&amp;q-key-time=1768053978%3B1768658778&amp;q-header-list=host&amp;q-url-param-list=&amp;q-signature=48a8dafef221f228e7c3929524521c6add248b62","Weixin Image_20251218173057_37_1955.jpg(链接7天有效，失效请重新同步)")</f>
        <v>456</v>
      </c>
      <c r="AL25" s="4" t="s">
        <f>=HYPERLINK("https://wj-collection-1258344706.cos.ap-guangzhou.myqcloud.com/formal/25118307/q-11-ZXt3/25118307_0_4e2da202e47cecda409c093bc36d23ad.jpg?q-sign-algorithm=sha1&amp;q-ak=AKID3dz5uN4cMpGamjMvBaySkOoxwmMgMacO&amp;q-sign-time=1768053978%3B1768658778&amp;q-key-time=1768053978%3B1768658778&amp;q-header-list=host&amp;q-url-param-list=&amp;q-signature=2ed77ab98c0a5e40d0068db014694baa81bef677","Weixin Image_20251218173058_38_1955.jpg(链接7天有效，失效请重新同步)")</f>
        <v>457</v>
      </c>
      <c r="AM25" s="4" t="s">
        <f>=HYPERLINK("https://wj-collection-1258344706.cos.ap-guangzhou.myqcloud.com/formal/25118307/q-11-ZXt3/25118307_0_c35e691e850d36e7c5f3ff2f78b7093e.jpg?q-sign-algorithm=sha1&amp;q-ak=AKID3dz5uN4cMpGamjMvBaySkOoxwmMgMacO&amp;q-sign-time=1768053978%3B1768658778&amp;q-key-time=1768053978%3B1768658778&amp;q-header-list=host&amp;q-url-param-list=&amp;q-signature=3ea0180f840c947614a6a43bf90b630c6967bc8d","Weixin Image_20251218173059_39_1955.jpg(链接7天有效，失效请重新同步)")</f>
        <v>458</v>
      </c>
      <c r="AN25" s="14" t="s"/>
      <c r="AO25" s="14" t="s"/>
      <c r="AP25" s="14" t="s"/>
      <c r="AQ25" s="14" t="s"/>
      <c r="AR25" s="14" t="s"/>
      <c r="AS25" s="4" t="s">
        <v>459</v>
      </c>
      <c r="AT25" s="4" t="s">
        <v>64</v>
      </c>
      <c r="AU25" s="4" t="s">
        <v>65</v>
      </c>
      <c r="AV25" s="4" t="s">
        <v>66</v>
      </c>
    </row>
    <row r="26" spans="1:48">
      <c r="A26" s="5">
        <v>25</v>
      </c>
      <c r="B26" s="12">
        <v>46012.5878240741</v>
      </c>
      <c r="C26" s="12">
        <v>46012.6230902778</v>
      </c>
      <c r="D26" s="13">
        <v>3047</v>
      </c>
      <c r="E26" s="4" t="s">
        <v>37</v>
      </c>
      <c r="F26" s="4" t="s">
        <v>292</v>
      </c>
      <c r="G26" s="4" t="s">
        <v>293</v>
      </c>
      <c r="H26" s="14" t="s"/>
      <c r="I26" s="4" t="s">
        <v>460</v>
      </c>
      <c r="J26" s="4" t="s">
        <v>461</v>
      </c>
      <c r="K26" s="14" t="s"/>
      <c r="L26" s="4" t="s">
        <v>462</v>
      </c>
      <c r="M26" s="14" t="s"/>
      <c r="N26" s="14" t="s"/>
      <c r="O26" s="14" t="s"/>
      <c r="P26" s="14" t="s"/>
      <c r="Q26" s="14" t="s"/>
      <c r="R26" s="14" t="s"/>
      <c r="S26" s="14" t="s"/>
      <c r="T26" s="14" t="s"/>
      <c r="U26" s="14" t="s"/>
      <c r="V26" t="s">
        <v>463</v>
      </c>
      <c r="W26" t="s">
        <v>464</v>
      </c>
      <c r="X26" t="s">
        <v>465</v>
      </c>
      <c r="Y26" t="s">
        <v>466</v>
      </c>
      <c r="Z26" t="s">
        <v>467</v>
      </c>
      <c r="AA26" t="s">
        <v>468</v>
      </c>
      <c r="AB26" t="s">
        <v>469</v>
      </c>
      <c r="AC26" t="s">
        <v>470</v>
      </c>
      <c r="AD26" t="s">
        <v>471</v>
      </c>
      <c r="AE26" t="s">
        <v>472</v>
      </c>
      <c r="AF26" t="s">
        <v>473</v>
      </c>
      <c r="AG26" t="s">
        <v>474</v>
      </c>
      <c r="AI26" s="4" t="s">
        <v>55</v>
      </c>
      <c r="AJ26" s="4" t="s">
        <f>=HYPERLINK("https://wj-collection-1258344706.cos.ap-guangzhou.myqcloud.com/formal/25118307/q-11-ZXt3/25118307_0_f606e201bd423049ea4d5113b28aceeb.jpg?q-sign-algorithm=sha1&amp;q-ak=AKID3dz5uN4cMpGamjMvBaySkOoxwmMgMacO&amp;q-sign-time=1768053978%3B1768658778&amp;q-key-time=1768053978%3B1768658778&amp;q-header-list=host&amp;q-url-param-list=&amp;q-signature=1346a406b9138fdbce324f0f13e0b54a1141016a","Screenshot_20251220_160050_com_tencent_mm_LauncherUI.jpg(链接7天有效，失效请重新同步)")</f>
        <v>475</v>
      </c>
      <c r="AK26" s="14" t="s"/>
      <c r="AL26" s="14" t="s"/>
      <c r="AM26" s="14" t="s"/>
      <c r="AN26" s="14" t="s"/>
      <c r="AO26" s="14" t="s"/>
      <c r="AP26" s="14" t="s"/>
      <c r="AQ26" s="14" t="s"/>
      <c r="AR26" s="14" t="s"/>
      <c r="AS26" s="14" t="s"/>
      <c r="AT26" s="4" t="s">
        <v>64</v>
      </c>
      <c r="AU26" s="4" t="s">
        <v>65</v>
      </c>
      <c r="AV26" s="4" t="s">
        <v>66</v>
      </c>
    </row>
    <row r="27" spans="1:48">
      <c r="A27" s="5">
        <v>26</v>
      </c>
      <c r="B27" s="12">
        <v>46013.0096412037</v>
      </c>
      <c r="C27" s="12">
        <v>46013.0131712962</v>
      </c>
      <c r="D27" s="13">
        <v>305</v>
      </c>
      <c r="E27" s="4" t="s">
        <v>37</v>
      </c>
      <c r="F27" s="4" t="s">
        <v>193</v>
      </c>
      <c r="G27" s="4" t="s">
        <v>476</v>
      </c>
      <c r="H27" s="14" t="s"/>
      <c r="I27" s="4" t="s">
        <v>477</v>
      </c>
      <c r="J27" s="4" t="s">
        <v>478</v>
      </c>
      <c r="K27" s="14" t="s"/>
      <c r="L27" s="4" t="s">
        <v>479</v>
      </c>
      <c r="M27" s="14" t="s"/>
      <c r="N27" s="14" t="s"/>
      <c r="O27" s="14" t="s"/>
      <c r="P27" s="14" t="s"/>
      <c r="Q27" s="14" t="s"/>
      <c r="R27" s="14" t="s"/>
      <c r="S27" s="14" t="s"/>
      <c r="T27" s="14" t="s"/>
      <c r="U27" s="14" t="s"/>
      <c r="V27" t="s">
        <v>480</v>
      </c>
      <c r="W27" t="s">
        <v>481</v>
      </c>
      <c r="X27" t="s">
        <v>482</v>
      </c>
      <c r="Y27" t="s">
        <v>483</v>
      </c>
      <c r="Z27" t="s">
        <v>484</v>
      </c>
      <c r="AA27" t="s">
        <v>485</v>
      </c>
      <c r="AB27" t="s">
        <v>486</v>
      </c>
      <c r="AC27" s="28" t="s">
        <v>487</v>
      </c>
      <c r="AI27" s="4" t="s">
        <v>55</v>
      </c>
      <c r="AJ27" s="14" t="s"/>
      <c r="AK27" s="14" t="s"/>
      <c r="AL27" s="14" t="s"/>
      <c r="AM27" s="14" t="s"/>
      <c r="AN27" s="14" t="s"/>
      <c r="AO27" s="14" t="s"/>
      <c r="AP27" s="14" t="s"/>
      <c r="AQ27" s="14" t="s"/>
      <c r="AR27" s="14" t="s"/>
      <c r="AS27" s="14" t="s"/>
      <c r="AT27" s="4" t="s">
        <v>64</v>
      </c>
      <c r="AU27" s="4" t="s">
        <v>65</v>
      </c>
      <c r="AV27" s="4" t="s">
        <v>66</v>
      </c>
    </row>
    <row r="28" spans="1:48">
      <c r="A28" s="5">
        <v>27</v>
      </c>
      <c r="B28" s="12">
        <v>46013.7087152778</v>
      </c>
      <c r="C28" s="12">
        <v>46013.7297685185</v>
      </c>
      <c r="D28" s="13">
        <v>1819</v>
      </c>
      <c r="E28" s="4" t="s">
        <v>37</v>
      </c>
      <c r="F28" s="4" t="s">
        <v>268</v>
      </c>
      <c r="G28" s="4" t="s">
        <v>269</v>
      </c>
      <c r="H28" s="14" t="s"/>
      <c r="I28" s="4" t="s">
        <v>488</v>
      </c>
      <c r="J28" s="4" t="s">
        <v>79</v>
      </c>
      <c r="K28" s="4" t="s">
        <v>489</v>
      </c>
      <c r="L28" s="4" t="s">
        <v>490</v>
      </c>
      <c r="M28" s="14" t="s"/>
      <c r="N28" s="14" t="s"/>
      <c r="O28" s="14" t="s"/>
      <c r="P28" s="14" t="s"/>
      <c r="Q28" s="14" t="s"/>
      <c r="R28" s="14" t="s"/>
      <c r="S28" s="14" t="s"/>
      <c r="T28" s="14" t="s"/>
      <c r="U28" s="14" t="s"/>
      <c r="V28" t="s">
        <v>491</v>
      </c>
      <c r="W28" t="s">
        <v>492</v>
      </c>
      <c r="X28" t="s">
        <v>493</v>
      </c>
      <c r="Y28" t="s">
        <v>494</v>
      </c>
      <c r="Z28" t="s">
        <v>495</v>
      </c>
      <c r="AA28" t="s">
        <v>496</v>
      </c>
      <c r="AB28" t="s">
        <v>497</v>
      </c>
      <c r="AC28" t="s">
        <v>498</v>
      </c>
      <c r="AD28" s="29" t="s">
        <v>499</v>
      </c>
      <c r="AE28" s="30" t="s">
        <v>500</v>
      </c>
      <c r="AF28" t="s">
        <v>501</v>
      </c>
      <c r="AG28" s="30" t="s">
        <v>502</v>
      </c>
      <c r="AI28" s="4" t="s">
        <v>55</v>
      </c>
      <c r="AJ28" s="14" t="s"/>
      <c r="AK28" s="14" t="s"/>
      <c r="AL28" s="14" t="s"/>
      <c r="AM28" s="14" t="s"/>
      <c r="AN28" s="14" t="s"/>
      <c r="AO28" s="14" t="s"/>
      <c r="AP28" s="14" t="s"/>
      <c r="AQ28" s="14" t="s"/>
      <c r="AR28" s="14" t="s"/>
      <c r="AS28" s="14" t="s"/>
      <c r="AT28" s="4" t="s">
        <v>64</v>
      </c>
      <c r="AU28" s="4" t="s">
        <v>65</v>
      </c>
      <c r="AV28" s="4" t="s">
        <v>66</v>
      </c>
    </row>
    <row r="29" spans="1:48">
      <c r="A29" s="5">
        <v>28</v>
      </c>
      <c r="B29" s="12">
        <v>46013.8857523148</v>
      </c>
      <c r="C29" s="12">
        <v>46013.8906018519</v>
      </c>
      <c r="D29" s="13">
        <v>419</v>
      </c>
      <c r="E29" s="4" t="s">
        <v>37</v>
      </c>
      <c r="F29" s="4" t="s">
        <v>503</v>
      </c>
      <c r="G29" s="4" t="s">
        <v>504</v>
      </c>
      <c r="H29" s="14" t="s"/>
      <c r="I29" s="4" t="s">
        <v>505</v>
      </c>
      <c r="J29" s="4" t="s">
        <v>506</v>
      </c>
      <c r="K29" s="14" t="s"/>
      <c r="L29" s="4" t="s">
        <v>507</v>
      </c>
      <c r="M29" s="14" t="s"/>
      <c r="N29" s="14" t="s"/>
      <c r="O29" s="14" t="s"/>
      <c r="P29" s="14" t="s"/>
      <c r="Q29" s="14" t="s"/>
      <c r="R29" s="14" t="s"/>
      <c r="S29" s="14" t="s"/>
      <c r="T29" s="14" t="s"/>
      <c r="U29" s="14" t="s"/>
      <c r="V29" t="s">
        <v>508</v>
      </c>
      <c r="W29" t="s">
        <v>509</v>
      </c>
      <c r="X29" t="s">
        <v>510</v>
      </c>
      <c r="Y29" t="s">
        <v>511</v>
      </c>
      <c r="Z29" t="s">
        <v>512</v>
      </c>
      <c r="AA29" t="s">
        <v>513</v>
      </c>
      <c r="AB29" t="s">
        <v>514</v>
      </c>
      <c r="AI29" s="4" t="s">
        <v>55</v>
      </c>
      <c r="AJ29" s="14" t="s"/>
      <c r="AK29" s="14" t="s"/>
      <c r="AL29" s="14" t="s"/>
      <c r="AM29" s="14" t="s"/>
      <c r="AN29" s="14" t="s"/>
      <c r="AO29" s="14" t="s"/>
      <c r="AP29" s="14" t="s"/>
      <c r="AQ29" s="14" t="s"/>
      <c r="AR29" s="14" t="s"/>
      <c r="AS29" s="14" t="s"/>
      <c r="AT29" s="4" t="s">
        <v>64</v>
      </c>
      <c r="AU29" s="4" t="s">
        <v>65</v>
      </c>
      <c r="AV29" s="4" t="s">
        <v>66</v>
      </c>
    </row>
    <row r="30" spans="1:48">
      <c r="A30" s="5">
        <v>29</v>
      </c>
      <c r="B30" s="12">
        <v>46014.4955208333</v>
      </c>
      <c r="C30" s="12">
        <v>46014.5099305556</v>
      </c>
      <c r="D30" s="13">
        <v>1245</v>
      </c>
      <c r="E30" s="4" t="s">
        <v>37</v>
      </c>
      <c r="F30" s="4" t="s">
        <v>515</v>
      </c>
      <c r="G30" s="4" t="s">
        <v>516</v>
      </c>
      <c r="H30" s="14" t="s"/>
      <c r="I30" s="4" t="s">
        <v>517</v>
      </c>
      <c r="J30" s="4" t="s">
        <v>143</v>
      </c>
      <c r="K30" s="4" t="s">
        <v>80</v>
      </c>
      <c r="L30" s="4" t="s">
        <v>518</v>
      </c>
      <c r="M30" s="14" t="s"/>
      <c r="N30" s="14" t="s"/>
      <c r="O30" s="14" t="s"/>
      <c r="P30" s="14" t="s"/>
      <c r="Q30" s="14" t="s"/>
      <c r="R30" s="14" t="s"/>
      <c r="S30" s="14" t="s"/>
      <c r="T30" s="14" t="s"/>
      <c r="U30" s="14" t="s"/>
      <c r="V30" t="s">
        <v>519</v>
      </c>
      <c r="W30" t="s">
        <v>520</v>
      </c>
      <c r="X30" t="s">
        <v>521</v>
      </c>
      <c r="Y30" t="s">
        <v>522</v>
      </c>
      <c r="Z30" t="s">
        <v>523</v>
      </c>
      <c r="AA30" t="s">
        <v>524</v>
      </c>
      <c r="AB30" t="s">
        <v>525</v>
      </c>
      <c r="AC30" t="s">
        <v>526</v>
      </c>
      <c r="AD30" t="s">
        <v>527</v>
      </c>
      <c r="AE30" t="s">
        <v>528</v>
      </c>
      <c r="AF30" t="s">
        <v>529</v>
      </c>
      <c r="AG30" t="s">
        <v>530</v>
      </c>
      <c r="AI30" s="4" t="s">
        <v>55</v>
      </c>
      <c r="AJ30" s="4" t="s">
        <f>=HYPERLINK("https://wj-collection-1258344706.cos.ap-guangzhou.myqcloud.com/formal/25118307/q-11-ZXt3/25118307_0_3a71b615eb3372cd12c6bcfb873e1c04.docx?q-sign-algorithm=sha1&amp;q-ak=AKID3dz5uN4cMpGamjMvBaySkOoxwmMgMacO&amp;q-sign-time=1768053978%3B1768658778&amp;q-key-time=1768053978%3B1768658778&amp;q-header-list=host&amp;q-url-param-list=&amp;q-signature=47cf1b11362e12aa8bd2822034627df0592acecf","yyl 随评履历证明.docx(链接7天有效，失效请重新同步)")</f>
        <v>531</v>
      </c>
      <c r="AK30" s="14" t="s"/>
      <c r="AL30" s="14" t="s"/>
      <c r="AM30" s="14" t="s"/>
      <c r="AN30" s="14" t="s"/>
      <c r="AO30" s="14" t="s"/>
      <c r="AP30" s="14" t="s"/>
      <c r="AQ30" s="14" t="s"/>
      <c r="AR30" s="14" t="s"/>
      <c r="AS30" s="14" t="s"/>
      <c r="AT30" s="4" t="s">
        <v>64</v>
      </c>
      <c r="AU30" s="4" t="s">
        <v>65</v>
      </c>
      <c r="AV30" s="4" t="s">
        <v>66</v>
      </c>
    </row>
    <row r="31" spans="1:48">
      <c r="A31" s="5">
        <v>30</v>
      </c>
      <c r="B31" s="12">
        <v>46014.5465856482</v>
      </c>
      <c r="C31" s="12">
        <v>46014.5618981482</v>
      </c>
      <c r="D31" s="13">
        <v>1323</v>
      </c>
      <c r="E31" s="4" t="s">
        <v>37</v>
      </c>
      <c r="F31" s="4" t="s">
        <v>532</v>
      </c>
      <c r="G31" s="4" t="s">
        <v>533</v>
      </c>
      <c r="H31" s="14" t="s"/>
      <c r="I31" s="4" t="s">
        <v>534</v>
      </c>
      <c r="J31" s="4" t="s">
        <v>535</v>
      </c>
      <c r="K31" s="4" t="s">
        <v>80</v>
      </c>
      <c r="L31" s="4" t="s">
        <v>536</v>
      </c>
      <c r="M31" s="14" t="s"/>
      <c r="N31" s="14" t="s"/>
      <c r="O31" s="14" t="s"/>
      <c r="P31" s="14" t="s"/>
      <c r="Q31" s="14" t="s"/>
      <c r="R31" s="14" t="s"/>
      <c r="S31" s="14" t="s"/>
      <c r="T31" s="14" t="s"/>
      <c r="U31" s="14" t="s"/>
      <c r="V31" t="s">
        <v>537</v>
      </c>
      <c r="W31" t="s">
        <v>538</v>
      </c>
      <c r="X31" t="s">
        <v>539</v>
      </c>
      <c r="Y31" t="s">
        <v>540</v>
      </c>
      <c r="Z31" t="s">
        <v>541</v>
      </c>
      <c r="AA31" t="s">
        <v>542</v>
      </c>
      <c r="AB31" t="s">
        <v>543</v>
      </c>
      <c r="AI31" s="4" t="s">
        <v>126</v>
      </c>
      <c r="AJ31" s="14" t="s"/>
      <c r="AK31" s="14" t="s"/>
      <c r="AL31" s="14" t="s"/>
      <c r="AM31" s="14" t="s"/>
      <c r="AN31" s="14" t="s"/>
      <c r="AO31" s="14" t="s"/>
      <c r="AP31" s="14" t="s"/>
      <c r="AQ31" s="14" t="s"/>
      <c r="AR31" s="14" t="s"/>
      <c r="AS31" s="14" t="s"/>
      <c r="AT31" s="4" t="s">
        <v>64</v>
      </c>
      <c r="AU31" s="4" t="s">
        <v>65</v>
      </c>
      <c r="AV31" s="4" t="s">
        <v>66</v>
      </c>
    </row>
    <row r="32" spans="1:48">
      <c r="A32" s="5">
        <v>31</v>
      </c>
      <c r="B32" s="12">
        <v>46014.7804398148</v>
      </c>
      <c r="C32" s="12">
        <v>46014.8089699074</v>
      </c>
      <c r="D32" s="13">
        <v>2465</v>
      </c>
      <c r="E32" s="4" t="s">
        <v>37</v>
      </c>
      <c r="F32" s="4" t="s">
        <v>544</v>
      </c>
      <c r="G32" s="14" t="s"/>
      <c r="H32" s="14" t="s"/>
      <c r="I32" s="4" t="s">
        <v>545</v>
      </c>
      <c r="J32" s="4" t="s">
        <v>546</v>
      </c>
      <c r="K32" s="4" t="s">
        <v>80</v>
      </c>
      <c r="L32" s="4" t="s">
        <v>547</v>
      </c>
      <c r="M32" s="14" t="s"/>
      <c r="N32" s="14" t="s"/>
      <c r="O32" s="14" t="s"/>
      <c r="P32" s="14" t="s"/>
      <c r="Q32" s="14" t="s"/>
      <c r="R32" s="14" t="s"/>
      <c r="S32" s="14" t="s"/>
      <c r="T32" s="14" t="s"/>
      <c r="U32" s="14" t="s"/>
      <c r="V32" t="s">
        <v>548</v>
      </c>
      <c r="W32" t="s">
        <v>549</v>
      </c>
      <c r="X32" t="s">
        <v>550</v>
      </c>
      <c r="Y32" t="s">
        <v>551</v>
      </c>
      <c r="Z32" t="s">
        <v>552</v>
      </c>
      <c r="AA32" t="s">
        <v>553</v>
      </c>
      <c r="AB32" t="s">
        <v>554</v>
      </c>
      <c r="AC32" t="s">
        <v>555</v>
      </c>
      <c r="AD32" t="s">
        <v>556</v>
      </c>
      <c r="AE32" t="s">
        <v>557</v>
      </c>
      <c r="AF32" t="s">
        <v>558</v>
      </c>
      <c r="AG32" t="s">
        <v>559</v>
      </c>
      <c r="AI32" s="4" t="s">
        <v>55</v>
      </c>
      <c r="AJ32" s="14" t="s"/>
      <c r="AK32" s="14" t="s"/>
      <c r="AL32" s="14" t="s"/>
      <c r="AM32" s="14" t="s"/>
      <c r="AN32" s="14" t="s"/>
      <c r="AO32" s="14" t="s"/>
      <c r="AP32" s="14" t="s"/>
      <c r="AQ32" s="14" t="s"/>
      <c r="AR32" s="14" t="s"/>
      <c r="AS32" s="14" t="s"/>
      <c r="AT32" s="4" t="s">
        <v>64</v>
      </c>
      <c r="AU32" s="4" t="s">
        <v>65</v>
      </c>
      <c r="AV32" s="4" t="s">
        <v>66</v>
      </c>
    </row>
    <row r="33" spans="1:48">
      <c r="A33" s="5">
        <v>32</v>
      </c>
      <c r="B33" s="12">
        <v>46014.8473495371</v>
      </c>
      <c r="C33" s="12">
        <v>46014.8475578704</v>
      </c>
      <c r="D33" s="13">
        <v>18</v>
      </c>
      <c r="E33" s="4" t="s">
        <v>37</v>
      </c>
      <c r="F33" s="4" t="s">
        <v>560</v>
      </c>
      <c r="G33" s="4" t="s">
        <v>560</v>
      </c>
      <c r="H33" s="14" t="s"/>
      <c r="I33" s="4" t="s">
        <v>561</v>
      </c>
      <c r="J33" s="4" t="s">
        <v>79</v>
      </c>
      <c r="K33" s="14" t="s"/>
      <c r="L33" s="4" t="s">
        <v>562</v>
      </c>
      <c r="M33" s="14" t="s"/>
      <c r="N33" s="14" t="s"/>
      <c r="O33" s="14" t="s"/>
      <c r="P33" s="14" t="s"/>
      <c r="Q33" s="14" t="s"/>
      <c r="R33" s="14" t="s"/>
      <c r="S33" s="14" t="s"/>
      <c r="T33" s="14" t="s"/>
      <c r="U33" s="14" t="s"/>
      <c r="V33" t="s">
        <v>563</v>
      </c>
      <c r="W33" t="s">
        <v>564</v>
      </c>
      <c r="X33" t="s">
        <v>565</v>
      </c>
      <c r="Y33" t="s">
        <v>566</v>
      </c>
      <c r="Z33" t="s">
        <v>567</v>
      </c>
      <c r="AA33" t="s">
        <v>568</v>
      </c>
      <c r="AB33" t="s">
        <v>569</v>
      </c>
      <c r="AC33" t="s">
        <v>570</v>
      </c>
      <c r="AD33" t="s">
        <v>571</v>
      </c>
      <c r="AE33" t="s">
        <v>572</v>
      </c>
      <c r="AF33" t="s">
        <v>573</v>
      </c>
      <c r="AG33" t="s">
        <v>574</v>
      </c>
      <c r="AI33" s="4" t="s">
        <v>55</v>
      </c>
      <c r="AJ33" s="4" t="s">
        <f>=HYPERLINK("https://wj-collection-1258344706.cos.ap-guangzhou.myqcloud.com/formal/25118307/q-11-ZXt3/25118307_0_3f913b06bf6cef48227ff6e0cd16d64d.docx?q-sign-algorithm=sha1&amp;q-ak=AKID3dz5uN4cMpGamjMvBaySkOoxwmMgMacO&amp;q-sign-time=1768053978%3B1768658778&amp;q-key-time=1768053978%3B1768658778&amp;q-header-list=host&amp;q-url-param-list=&amp;q-signature=a9c4eaf5437c00c7352a73006d11dbe2ceba2435","履历证明2.0.docx(链接7天有效，失效请重新同步)")</f>
        <v>575</v>
      </c>
      <c r="AK33" s="14" t="s"/>
      <c r="AL33" s="14" t="s"/>
      <c r="AM33" s="14" t="s"/>
      <c r="AN33" s="14" t="s"/>
      <c r="AO33" s="14" t="s"/>
      <c r="AP33" s="14" t="s"/>
      <c r="AQ33" s="14" t="s"/>
      <c r="AR33" s="14" t="s"/>
      <c r="AS33" s="4" t="s">
        <v>576</v>
      </c>
      <c r="AT33" s="4" t="s">
        <v>64</v>
      </c>
      <c r="AU33" s="4" t="s">
        <v>65</v>
      </c>
      <c r="AV33" s="4" t="s">
        <v>66</v>
      </c>
    </row>
    <row r="34" spans="1:48">
      <c r="A34" s="5">
        <v>33</v>
      </c>
      <c r="B34" s="12">
        <v>46014.6300810185</v>
      </c>
      <c r="C34" s="12">
        <v>46014.8531712962</v>
      </c>
      <c r="D34" s="13">
        <v>19275</v>
      </c>
      <c r="E34" s="4" t="s">
        <v>37</v>
      </c>
      <c r="F34" s="4" t="s">
        <v>98</v>
      </c>
      <c r="G34" s="4" t="s">
        <v>98</v>
      </c>
      <c r="H34" s="14" t="s"/>
      <c r="I34" s="4" t="s">
        <v>577</v>
      </c>
      <c r="J34" s="4" t="s">
        <v>578</v>
      </c>
      <c r="K34" s="4" t="s">
        <v>80</v>
      </c>
      <c r="L34" s="4" t="s">
        <v>579</v>
      </c>
      <c r="M34" s="14" t="s"/>
      <c r="N34" s="14" t="s"/>
      <c r="O34" s="14" t="s"/>
      <c r="P34" s="14" t="s"/>
      <c r="Q34" s="14" t="s"/>
      <c r="R34" s="14" t="s"/>
      <c r="S34" s="14" t="s"/>
      <c r="T34" s="14" t="s"/>
      <c r="U34" s="14" t="s"/>
      <c r="V34" t="s">
        <v>580</v>
      </c>
      <c r="W34" t="s">
        <v>581</v>
      </c>
      <c r="X34" t="s">
        <v>582</v>
      </c>
      <c r="Y34" s="29" t="s">
        <v>583</v>
      </c>
      <c r="Z34" t="s">
        <v>584</v>
      </c>
      <c r="AA34" t="s">
        <v>585</v>
      </c>
      <c r="AB34" t="s">
        <v>586</v>
      </c>
      <c r="AC34" t="s">
        <v>587</v>
      </c>
      <c r="AD34" s="30" t="s">
        <v>588</v>
      </c>
      <c r="AE34" t="s">
        <v>589</v>
      </c>
      <c r="AF34" t="s">
        <v>590</v>
      </c>
      <c r="AG34" t="s">
        <v>591</v>
      </c>
      <c r="AI34" s="4" t="s">
        <v>55</v>
      </c>
      <c r="AJ34" s="4" t="s">
        <f>=HYPERLINK("https://wj-collection-1258344706.cos.ap-guangzhou.myqcloud.com/formal/25118307/q-11-ZXt3/25118307_0_3f9cfc7359d057a80e8d05f5d35366fe.jpg?q-sign-algorithm=sha1&amp;q-ak=AKID3dz5uN4cMpGamjMvBaySkOoxwmMgMacO&amp;q-sign-time=1768053978%3B1768658778&amp;q-key-time=1768053978%3B1768658778&amp;q-header-list=host&amp;q-url-param-list=&amp;q-signature=e7bd2a7f2bff6eec108ce5d56ec1837e5b6017dc","微信图片_2025-12-23_202824_617.jpg(链接7天有效，失效请重新同步)")</f>
        <v>592</v>
      </c>
      <c r="AK34" s="14" t="s"/>
      <c r="AL34" s="14" t="s"/>
      <c r="AM34" s="14" t="s"/>
      <c r="AN34" s="14" t="s"/>
      <c r="AO34" s="14" t="s"/>
      <c r="AP34" s="14" t="s"/>
      <c r="AQ34" s="14" t="s"/>
      <c r="AR34" s="14" t="s"/>
      <c r="AS34" s="14" t="s"/>
      <c r="AT34" s="4" t="s">
        <v>64</v>
      </c>
      <c r="AU34" s="4" t="s">
        <v>65</v>
      </c>
      <c r="AV34" s="4" t="s">
        <v>66</v>
      </c>
    </row>
    <row r="35" spans="1:48">
      <c r="A35" s="5">
        <v>34</v>
      </c>
      <c r="B35" s="12">
        <v>46015.8188773148</v>
      </c>
      <c r="C35" s="12">
        <v>46015.8237962962</v>
      </c>
      <c r="D35" s="13">
        <v>425</v>
      </c>
      <c r="E35" s="4" t="s">
        <v>37</v>
      </c>
      <c r="F35" s="4" t="s">
        <v>109</v>
      </c>
      <c r="G35" s="4" t="s">
        <v>110</v>
      </c>
      <c r="H35" s="14" t="s"/>
      <c r="I35" s="4" t="s">
        <v>593</v>
      </c>
      <c r="J35" s="4" t="s">
        <v>408</v>
      </c>
      <c r="K35" s="4" t="s">
        <v>80</v>
      </c>
      <c r="L35" s="4" t="s">
        <v>594</v>
      </c>
      <c r="M35" s="14" t="s"/>
      <c r="N35" s="14" t="s"/>
      <c r="O35" s="14" t="s"/>
      <c r="P35" s="14" t="s"/>
      <c r="Q35" s="14" t="s"/>
      <c r="R35" s="14" t="s"/>
      <c r="S35" s="14" t="s"/>
      <c r="T35" s="14" t="s"/>
      <c r="U35" s="14" t="s"/>
      <c r="V35" t="s">
        <v>595</v>
      </c>
      <c r="W35" t="s">
        <v>596</v>
      </c>
      <c r="X35" t="s">
        <v>597</v>
      </c>
      <c r="Y35" t="s">
        <v>598</v>
      </c>
      <c r="Z35" t="s">
        <v>599</v>
      </c>
      <c r="AA35" t="s">
        <v>600</v>
      </c>
      <c r="AB35" t="s">
        <v>601</v>
      </c>
      <c r="AC35" t="s">
        <v>602</v>
      </c>
      <c r="AD35" t="s">
        <v>603</v>
      </c>
      <c r="AE35" t="s">
        <v>604</v>
      </c>
      <c r="AF35" t="s">
        <v>605</v>
      </c>
      <c r="AG35" t="s">
        <v>606</v>
      </c>
      <c r="AI35" s="4" t="s">
        <v>126</v>
      </c>
      <c r="AJ35" s="14" t="s"/>
      <c r="AK35" s="14" t="s"/>
      <c r="AL35" s="14" t="s"/>
      <c r="AM35" s="14" t="s"/>
      <c r="AN35" s="14" t="s"/>
      <c r="AO35" s="14" t="s"/>
      <c r="AP35" s="14" t="s"/>
      <c r="AQ35" s="14" t="s"/>
      <c r="AR35" s="14" t="s"/>
      <c r="AS35" s="14" t="s"/>
      <c r="AT35" s="4" t="s">
        <v>64</v>
      </c>
      <c r="AU35" s="4" t="s">
        <v>65</v>
      </c>
      <c r="AV35" s="4" t="s">
        <v>66</v>
      </c>
    </row>
    <row r="36" spans="1:48">
      <c r="A36" s="5">
        <v>35</v>
      </c>
      <c r="B36" s="12">
        <v>46015.9364351852</v>
      </c>
      <c r="C36" s="12">
        <v>46015.9639930556</v>
      </c>
      <c r="D36" s="13">
        <v>2381</v>
      </c>
      <c r="E36" s="4" t="s">
        <v>37</v>
      </c>
      <c r="F36" s="4" t="s">
        <v>503</v>
      </c>
      <c r="G36" s="4" t="s">
        <v>607</v>
      </c>
      <c r="H36" s="14" t="s"/>
      <c r="I36" s="4" t="s">
        <v>608</v>
      </c>
      <c r="J36" s="4" t="s">
        <v>609</v>
      </c>
      <c r="K36" s="14" t="s"/>
      <c r="L36" s="4" t="s">
        <v>610</v>
      </c>
      <c r="M36" s="14" t="s"/>
      <c r="N36" s="14" t="s"/>
      <c r="O36" s="14" t="s"/>
      <c r="P36" s="14" t="s"/>
      <c r="Q36" s="14" t="s"/>
      <c r="R36" s="14" t="s"/>
      <c r="S36" s="14" t="s"/>
      <c r="T36" s="14" t="s"/>
      <c r="U36" s="14" t="s"/>
      <c r="V36" s="15" t="s">
        <v>611</v>
      </c>
      <c r="W36" t="s">
        <v>612</v>
      </c>
      <c r="X36" t="s">
        <v>613</v>
      </c>
      <c r="Y36" t="s">
        <v>614</v>
      </c>
      <c r="Z36" t="s">
        <v>615</v>
      </c>
      <c r="AA36" t="s">
        <v>616</v>
      </c>
      <c r="AB36" t="s">
        <v>617</v>
      </c>
      <c r="AC36" t="s">
        <v>618</v>
      </c>
      <c r="AD36" t="s">
        <v>619</v>
      </c>
      <c r="AE36" t="s">
        <v>620</v>
      </c>
      <c r="AF36" t="s">
        <v>621</v>
      </c>
      <c r="AI36" s="4" t="s">
        <v>126</v>
      </c>
      <c r="AJ36" s="14" t="s"/>
      <c r="AK36" s="14" t="s"/>
      <c r="AL36" s="14" t="s"/>
      <c r="AM36" s="14" t="s"/>
      <c r="AN36" s="14" t="s"/>
      <c r="AO36" s="14" t="s"/>
      <c r="AP36" s="14" t="s"/>
      <c r="AQ36" s="14" t="s"/>
      <c r="AR36" s="14" t="s"/>
      <c r="AS36" s="14" t="s"/>
      <c r="AT36" s="4" t="s">
        <v>64</v>
      </c>
      <c r="AU36" s="4" t="s">
        <v>65</v>
      </c>
      <c r="AV36" s="4" t="s">
        <v>66</v>
      </c>
    </row>
    <row r="37" spans="1:48">
      <c r="A37" s="5">
        <v>36</v>
      </c>
      <c r="B37" s="12">
        <v>46016.4695023148</v>
      </c>
      <c r="C37" s="12">
        <v>46016.4708680556</v>
      </c>
      <c r="D37" s="13">
        <v>118</v>
      </c>
      <c r="E37" s="4" t="s">
        <v>37</v>
      </c>
      <c r="F37" s="4" t="s">
        <v>268</v>
      </c>
      <c r="G37" s="4" t="s">
        <v>622</v>
      </c>
      <c r="H37" s="14" t="s"/>
      <c r="I37" s="4" t="s">
        <v>623</v>
      </c>
      <c r="J37" s="4" t="s">
        <v>624</v>
      </c>
      <c r="K37" s="14" t="s"/>
      <c r="L37" s="4" t="s">
        <v>625</v>
      </c>
      <c r="M37" s="14" t="s"/>
      <c r="N37" s="14" t="s"/>
      <c r="O37" s="14" t="s"/>
      <c r="P37" s="14" t="s"/>
      <c r="Q37" s="14" t="s"/>
      <c r="R37" s="14" t="s"/>
      <c r="S37" s="14" t="s"/>
      <c r="T37" s="14" t="s"/>
      <c r="U37" s="14" t="s"/>
      <c r="V37" t="s">
        <v>626</v>
      </c>
      <c r="W37" t="s">
        <v>627</v>
      </c>
      <c r="X37" t="s">
        <v>628</v>
      </c>
      <c r="Y37" t="s">
        <v>629</v>
      </c>
      <c r="Z37" t="s">
        <v>630</v>
      </c>
      <c r="AA37" t="s">
        <v>631</v>
      </c>
      <c r="AB37" t="s">
        <v>632</v>
      </c>
      <c r="AC37" t="s">
        <v>633</v>
      </c>
      <c r="AD37" t="s">
        <v>634</v>
      </c>
      <c r="AE37" t="s">
        <v>635</v>
      </c>
      <c r="AF37" t="s">
        <v>636</v>
      </c>
      <c r="AI37" s="4" t="s">
        <v>55</v>
      </c>
      <c r="AJ37" s="14" t="s"/>
      <c r="AK37" s="14" t="s"/>
      <c r="AL37" s="14" t="s"/>
      <c r="AM37" s="14" t="s"/>
      <c r="AN37" s="14" t="s"/>
      <c r="AO37" s="14" t="s"/>
      <c r="AP37" s="14" t="s"/>
      <c r="AQ37" s="14" t="s"/>
      <c r="AR37" s="14" t="s"/>
      <c r="AS37" s="4" t="s">
        <v>637</v>
      </c>
      <c r="AT37" s="4" t="s">
        <v>64</v>
      </c>
      <c r="AU37" s="4" t="s">
        <v>65</v>
      </c>
      <c r="AV37" s="4" t="s">
        <v>66</v>
      </c>
    </row>
    <row r="38" spans="1:48" s="34" customFormat="true">
      <c r="A38" s="5">
        <v>37</v>
      </c>
      <c r="B38" s="6">
        <v>46018.6512152778</v>
      </c>
      <c r="C38" s="6">
        <v>46018.6658796296</v>
      </c>
      <c r="D38" s="7">
        <v>1267</v>
      </c>
      <c r="E38" s="8" t="s">
        <v>37</v>
      </c>
      <c r="F38" s="8" t="s">
        <v>638</v>
      </c>
      <c r="G38" s="8" t="s">
        <v>639</v>
      </c>
      <c r="H38" s="9" t="s"/>
      <c r="I38" s="8" t="s">
        <v>640</v>
      </c>
      <c r="J38" s="8" t="s">
        <v>79</v>
      </c>
      <c r="K38" s="9" t="s"/>
      <c r="L38" s="8" t="s">
        <v>641</v>
      </c>
      <c r="M38" s="8" t="s">
        <f>=HYPERLINK("https://wj-collection-1258344706.cos.ap-guangzhou.myqcloud.com/formal/25118307/q-2-OzFx/25118307_0_629a14e7555941f6c1aa73d41f838ce9.doc?q-sign-algorithm=sha1&amp;q-ak=AKID3dz5uN4cMpGamjMvBaySkOoxwmMgMacO&amp;q-sign-time=1768053978%3B1768658778&amp;q-key-time=1768053978%3B1768658778&amp;q-header-list=host&amp;q-url-param-list=&amp;q-signature=fbe1cf61372b0f81e00d2bd2ba52bf3fc20086d2","fugin队伍履历.doc(链接7天有效，失效请重新同步)")</f>
        <v>642</v>
      </c>
      <c r="N38" s="9" t="s"/>
      <c r="O38" s="9" t="s"/>
      <c r="P38" s="9" t="s"/>
      <c r="Q38" s="9" t="s"/>
      <c r="R38" s="9" t="s"/>
      <c r="S38" s="9" t="s"/>
      <c r="T38" s="9" t="s"/>
      <c r="U38" s="9" t="s"/>
      <c r="V38" s="31" t="s">
        <v>643</v>
      </c>
      <c r="W38" s="11" t="s">
        <v>644</v>
      </c>
      <c r="X38" s="11" t="s">
        <v>645</v>
      </c>
      <c r="Y38" s="11" t="s">
        <v>646</v>
      </c>
      <c r="Z38" s="11" t="s">
        <v>647</v>
      </c>
      <c r="AA38" s="11" t="s">
        <v>648</v>
      </c>
      <c r="AB38" s="11" t="s">
        <v>649</v>
      </c>
      <c r="AC38" s="11" t="s">
        <v>650</v>
      </c>
      <c r="AD38" s="11" t="s">
        <v>651</v>
      </c>
      <c r="AE38" s="32" t="s">
        <v>652</v>
      </c>
      <c r="AF38" s="11" t="s">
        <v>653</v>
      </c>
      <c r="AG38" s="11" t="s">
        <v>654</v>
      </c>
      <c r="AH38" s="11" t="s"/>
      <c r="AI38" s="8" t="s">
        <v>55</v>
      </c>
      <c r="AJ38" s="9" t="s"/>
      <c r="AK38" s="9" t="s"/>
      <c r="AL38" s="9" t="s"/>
      <c r="AM38" s="9" t="s"/>
      <c r="AN38" s="9" t="s"/>
      <c r="AO38" s="9" t="s"/>
      <c r="AP38" s="9" t="s"/>
      <c r="AQ38" s="9" t="s"/>
      <c r="AR38" s="9" t="s"/>
      <c r="AS38" s="9" t="s"/>
      <c r="AT38" s="8" t="s">
        <v>64</v>
      </c>
      <c r="AU38" s="8" t="s">
        <v>65</v>
      </c>
      <c r="AV38" s="8" t="s">
        <v>66</v>
      </c>
    </row>
    <row r="39" spans="1:48">
      <c r="A39" s="5">
        <v>38</v>
      </c>
      <c r="B39" s="12">
        <v>46020.5759259259</v>
      </c>
      <c r="C39" s="12">
        <v>46020.5899768519</v>
      </c>
      <c r="D39" s="13">
        <v>1214</v>
      </c>
      <c r="E39" s="4" t="s">
        <v>37</v>
      </c>
      <c r="F39" s="4" t="s">
        <v>173</v>
      </c>
      <c r="G39" s="4" t="s">
        <v>655</v>
      </c>
      <c r="H39" s="14" t="s"/>
      <c r="I39" s="4" t="s">
        <v>656</v>
      </c>
      <c r="J39" s="4" t="s">
        <v>578</v>
      </c>
      <c r="K39" s="4" t="s">
        <v>80</v>
      </c>
      <c r="L39" s="4" t="s">
        <v>657</v>
      </c>
      <c r="M39" s="14" t="s"/>
      <c r="N39" s="14" t="s"/>
      <c r="O39" s="14" t="s"/>
      <c r="P39" s="14" t="s"/>
      <c r="Q39" s="14" t="s"/>
      <c r="R39" s="14" t="s"/>
      <c r="S39" s="14" t="s"/>
      <c r="T39" s="14" t="s"/>
      <c r="U39" s="14" t="s"/>
      <c r="V39" t="s">
        <v>658</v>
      </c>
      <c r="W39" t="s">
        <v>659</v>
      </c>
      <c r="X39" t="s">
        <v>660</v>
      </c>
      <c r="Y39" t="s">
        <v>661</v>
      </c>
      <c r="Z39" t="s">
        <v>662</v>
      </c>
      <c r="AA39" t="s">
        <v>663</v>
      </c>
      <c r="AB39" t="s">
        <v>664</v>
      </c>
      <c r="AC39" t="s">
        <v>665</v>
      </c>
      <c r="AD39" t="s">
        <v>666</v>
      </c>
      <c r="AE39" t="s">
        <v>667</v>
      </c>
      <c r="AF39" t="s">
        <v>668</v>
      </c>
      <c r="AG39" t="s">
        <v>669</v>
      </c>
      <c r="AH39" t="s">
        <v>670</v>
      </c>
      <c r="AI39" s="4" t="s">
        <v>55</v>
      </c>
      <c r="AJ39" s="14" t="s"/>
      <c r="AK39" s="14" t="s"/>
      <c r="AL39" s="14" t="s"/>
      <c r="AM39" s="14" t="s"/>
      <c r="AN39" s="14" t="s"/>
      <c r="AO39" s="14" t="s"/>
      <c r="AP39" s="14" t="s"/>
      <c r="AQ39" s="14" t="s"/>
      <c r="AR39" s="14" t="s"/>
      <c r="AS39" s="4" t="s">
        <v>671</v>
      </c>
      <c r="AT39" s="4" t="s">
        <v>64</v>
      </c>
      <c r="AU39" s="4" t="s">
        <v>65</v>
      </c>
      <c r="AV39" s="4" t="s">
        <v>66</v>
      </c>
    </row>
    <row r="40" spans="1:48">
      <c r="A40" s="5">
        <v>39</v>
      </c>
      <c r="B40" s="12">
        <v>46021.6681134259</v>
      </c>
      <c r="C40" s="12">
        <v>46021.6744907408</v>
      </c>
      <c r="D40" s="13">
        <v>551</v>
      </c>
      <c r="E40" s="4" t="s">
        <v>37</v>
      </c>
      <c r="F40" s="4" t="s">
        <v>544</v>
      </c>
      <c r="G40" s="4" t="s">
        <v>672</v>
      </c>
      <c r="H40" s="14" t="s"/>
      <c r="I40" s="4" t="s">
        <v>673</v>
      </c>
      <c r="J40" s="4" t="s">
        <v>674</v>
      </c>
      <c r="K40" s="4" t="s">
        <v>80</v>
      </c>
      <c r="L40" s="4" t="s">
        <v>675</v>
      </c>
      <c r="M40" s="14" t="s"/>
      <c r="N40" s="14" t="s"/>
      <c r="O40" s="14" t="s"/>
      <c r="P40" s="14" t="s"/>
      <c r="Q40" s="14" t="s"/>
      <c r="R40" s="14" t="s"/>
      <c r="S40" s="14" t="s"/>
      <c r="T40" s="14" t="s"/>
      <c r="U40" s="14" t="s"/>
      <c r="V40" t="s">
        <v>676</v>
      </c>
      <c r="W40" t="s">
        <v>677</v>
      </c>
      <c r="X40" t="s">
        <v>678</v>
      </c>
      <c r="Y40" t="s">
        <v>679</v>
      </c>
      <c r="Z40" t="s">
        <v>680</v>
      </c>
      <c r="AA40" t="s">
        <v>681</v>
      </c>
      <c r="AB40" t="s">
        <v>682</v>
      </c>
      <c r="AC40" t="s">
        <v>683</v>
      </c>
      <c r="AI40" s="4" t="s">
        <v>126</v>
      </c>
      <c r="AJ40" s="14" t="s"/>
      <c r="AK40" s="14" t="s"/>
      <c r="AL40" s="14" t="s"/>
      <c r="AM40" s="14" t="s"/>
      <c r="AN40" s="14" t="s"/>
      <c r="AO40" s="14" t="s"/>
      <c r="AP40" s="14" t="s"/>
      <c r="AQ40" s="14" t="s"/>
      <c r="AR40" s="14" t="s"/>
      <c r="AS40" s="14" t="s"/>
      <c r="AT40" s="4" t="s">
        <v>64</v>
      </c>
      <c r="AU40" s="4" t="s">
        <v>65</v>
      </c>
      <c r="AV40" s="4" t="s">
        <v>66</v>
      </c>
    </row>
    <row r="41" spans="1:48">
      <c r="A41" s="5">
        <v>40</v>
      </c>
      <c r="B41" s="12">
        <v>46023.682650463</v>
      </c>
      <c r="C41" s="12">
        <v>46023.6895138889</v>
      </c>
      <c r="D41" s="13">
        <v>593</v>
      </c>
      <c r="E41" s="4" t="s">
        <v>37</v>
      </c>
      <c r="F41" s="4" t="s">
        <v>173</v>
      </c>
      <c r="G41" s="4" t="s">
        <v>684</v>
      </c>
      <c r="H41" s="14" t="s"/>
      <c r="I41" s="4" t="s">
        <v>685</v>
      </c>
      <c r="J41" s="4" t="s">
        <v>686</v>
      </c>
      <c r="K41" s="14" t="s"/>
      <c r="L41" s="4" t="s">
        <v>687</v>
      </c>
      <c r="M41" s="14" t="s"/>
      <c r="N41" s="14" t="s"/>
      <c r="O41" s="14" t="s"/>
      <c r="P41" s="14" t="s"/>
      <c r="Q41" s="14" t="s"/>
      <c r="R41" s="14" t="s"/>
      <c r="S41" s="14" t="s"/>
      <c r="T41" s="14" t="s"/>
      <c r="U41" s="14" t="s"/>
      <c r="V41" t="s">
        <v>688</v>
      </c>
      <c r="W41" t="s">
        <v>689</v>
      </c>
      <c r="X41" t="s">
        <v>690</v>
      </c>
      <c r="Y41" t="s">
        <v>691</v>
      </c>
      <c r="Z41" t="s">
        <v>692</v>
      </c>
      <c r="AA41" t="s">
        <v>693</v>
      </c>
      <c r="AB41" t="s">
        <v>694</v>
      </c>
      <c r="AC41" t="s">
        <v>695</v>
      </c>
      <c r="AD41" t="s">
        <v>696</v>
      </c>
      <c r="AE41" s="33" t="s">
        <v>697</v>
      </c>
      <c r="AF41" t="s">
        <v>698</v>
      </c>
      <c r="AG41" s="33" t="s">
        <v>699</v>
      </c>
      <c r="AI41" s="4" t="s">
        <v>126</v>
      </c>
      <c r="AJ41" s="14" t="s"/>
      <c r="AK41" s="14" t="s"/>
      <c r="AL41" s="14" t="s"/>
      <c r="AM41" s="14" t="s"/>
      <c r="AN41" s="14" t="s"/>
      <c r="AO41" s="14" t="s"/>
      <c r="AP41" s="14" t="s"/>
      <c r="AQ41" s="14" t="s"/>
      <c r="AR41" s="14" t="s"/>
      <c r="AS41" s="14" t="s"/>
      <c r="AT41" s="4" t="s">
        <v>64</v>
      </c>
      <c r="AU41" s="4" t="s">
        <v>65</v>
      </c>
      <c r="AV41" s="4" t="s">
        <v>66</v>
      </c>
    </row>
    <row r="42" spans="1:48">
      <c r="A42" s="5">
        <v>41</v>
      </c>
      <c r="B42" s="12">
        <v>46024.8457407408</v>
      </c>
      <c r="C42" s="12">
        <v>46024.8536342593</v>
      </c>
      <c r="D42" s="13">
        <v>682</v>
      </c>
      <c r="E42" s="4" t="s">
        <v>37</v>
      </c>
      <c r="F42" s="4" t="s">
        <v>268</v>
      </c>
      <c r="G42" s="4" t="s">
        <v>269</v>
      </c>
      <c r="H42" s="14" t="s"/>
      <c r="I42" s="4" t="s">
        <v>700</v>
      </c>
      <c r="J42" s="4" t="s">
        <v>701</v>
      </c>
      <c r="K42" s="14" t="s"/>
      <c r="L42" s="4" t="s">
        <v>702</v>
      </c>
      <c r="M42" s="14" t="s"/>
      <c r="N42" s="14" t="s"/>
      <c r="O42" s="14" t="s"/>
      <c r="P42" s="14" t="s"/>
      <c r="Q42" s="14" t="s"/>
      <c r="R42" s="14" t="s"/>
      <c r="S42" s="14" t="s"/>
      <c r="T42" s="14" t="s"/>
      <c r="U42" s="14" t="s"/>
      <c r="V42" t="s">
        <v>703</v>
      </c>
      <c r="W42" t="s">
        <v>704</v>
      </c>
      <c r="X42" t="s">
        <v>705</v>
      </c>
      <c r="Y42" t="s">
        <v>706</v>
      </c>
      <c r="Z42" t="s">
        <v>707</v>
      </c>
      <c r="AA42" t="s">
        <v>708</v>
      </c>
      <c r="AB42" t="s">
        <v>709</v>
      </c>
      <c r="AC42" t="s">
        <v>710</v>
      </c>
      <c r="AD42" t="s">
        <v>711</v>
      </c>
      <c r="AE42" t="s">
        <v>712</v>
      </c>
      <c r="AF42" t="s">
        <v>713</v>
      </c>
      <c r="AG42" t="s">
        <v>714</v>
      </c>
      <c r="AI42" s="4" t="s">
        <v>55</v>
      </c>
      <c r="AJ42" s="4" t="s">
        <f>=HYPERLINK("https://wj-collection-1258344706.cos.ap-guangzhou.myqcloud.com/formal/25118307/q-11-ZXt3/25118307_0_99c3c2bd715db4052f18d73e9242fb26.jpeg?q-sign-algorithm=sha1&amp;q-ak=AKID3dz5uN4cMpGamjMvBaySkOoxwmMgMacO&amp;q-sign-time=1768053978%3B1768658778&amp;q-key-time=1768053978%3B1768658778&amp;q-header-list=host&amp;q-url-param-list=&amp;q-signature=be6e39c6458794df448dec263ccf7d0f195a292e","8c773b33542140c6dc489732fd31cc8a.jpeg(链接7天有效，失效请重新同步)")</f>
        <v>715</v>
      </c>
      <c r="AK42" s="4" t="s">
        <f>=HYPERLINK("https://wj-collection-1258344706.cos.ap-guangzhou.myqcloud.com/formal/25118307/q-11-ZXt3/25118307_0_f9dc497c92d5cff742b6c38b9db27b0a.jpeg?q-sign-algorithm=sha1&amp;q-ak=AKID3dz5uN4cMpGamjMvBaySkOoxwmMgMacO&amp;q-sign-time=1768053978%3B1768658778&amp;q-key-time=1768053978%3B1768658778&amp;q-header-list=host&amp;q-url-param-list=&amp;q-signature=cccaf21cb6dc7d93ef9bd499e8dbbf4d0b564607","73be9b61a9233b9ead5bf86b74c53ca1.jpeg(链接7天有效，失效请重新同步)")</f>
        <v>716</v>
      </c>
      <c r="AL42" s="4" t="s">
        <f>=HYPERLINK("https://wj-collection-1258344706.cos.ap-guangzhou.myqcloud.com/formal/25118307/q-11-ZXt3/25118307_0_a22afc0adbb8fadfc1a3b4c0c094117f.jpeg?q-sign-algorithm=sha1&amp;q-ak=AKID3dz5uN4cMpGamjMvBaySkOoxwmMgMacO&amp;q-sign-time=1768053978%3B1768658778&amp;q-key-time=1768053978%3B1768658778&amp;q-header-list=host&amp;q-url-param-list=&amp;q-signature=7bbb83866d83de54de31cd5ee44035057851eabc","651cebc4aaa760c5427c7a5c0931817c.jpeg(链接7天有效，失效请重新同步)")</f>
        <v>717</v>
      </c>
      <c r="AM42" s="4" t="s">
        <f>=HYPERLINK("https://wj-collection-1258344706.cos.ap-guangzhou.myqcloud.com/formal/25118307/q-11-ZXt3/25118307_0_6ec249783ef932660ed77176f097e990.jpeg?q-sign-algorithm=sha1&amp;q-ak=AKID3dz5uN4cMpGamjMvBaySkOoxwmMgMacO&amp;q-sign-time=1768053978%3B1768658778&amp;q-key-time=1768053978%3B1768658778&amp;q-header-list=host&amp;q-url-param-list=&amp;q-signature=ac80d7a0d80436f3795eb472aa45b567876affff","cf0106d09a78e4c0b85dc3860ad0a544.jpeg(链接7天有效，失效请重新同步)")</f>
        <v>718</v>
      </c>
      <c r="AN42" s="4" t="s">
        <f>=HYPERLINK("https://wj-collection-1258344706.cos.ap-guangzhou.myqcloud.com/formal/25118307/q-11-ZXt3/25118307_0_af61ca2cf5e4840e1ed8069f0ae48a9b.jpeg?q-sign-algorithm=sha1&amp;q-ak=AKID3dz5uN4cMpGamjMvBaySkOoxwmMgMacO&amp;q-sign-time=1768053978%3B1768658778&amp;q-key-time=1768053978%3B1768658778&amp;q-header-list=host&amp;q-url-param-list=&amp;q-signature=5de0070fb3388580e6730b5f3b7360021eea7931","388f2cc5a5f32744015fbff9ea599317.jpeg(链接7天有效，失效请重新同步)")</f>
        <v>719</v>
      </c>
      <c r="AO42" s="14" t="s"/>
      <c r="AP42" s="14" t="s"/>
      <c r="AQ42" s="14" t="s"/>
      <c r="AR42" s="14" t="s"/>
      <c r="AS42" s="14" t="s"/>
      <c r="AT42" s="4" t="s">
        <v>64</v>
      </c>
      <c r="AU42" s="4" t="s">
        <v>65</v>
      </c>
      <c r="AV42" s="4" t="s">
        <v>66</v>
      </c>
    </row>
    <row r="43" spans="1:48">
      <c r="A43" s="5">
        <v>42</v>
      </c>
      <c r="B43" s="12">
        <v>46026.0425578704</v>
      </c>
      <c r="C43" s="12">
        <v>46026.0476851852</v>
      </c>
      <c r="D43" s="13">
        <v>443</v>
      </c>
      <c r="E43" s="4" t="s">
        <v>37</v>
      </c>
      <c r="F43" s="4" t="s">
        <v>98</v>
      </c>
      <c r="G43" s="4" t="s">
        <v>98</v>
      </c>
      <c r="H43" s="14" t="s"/>
      <c r="I43" s="4" t="s">
        <v>720</v>
      </c>
      <c r="J43" s="4" t="s">
        <v>721</v>
      </c>
      <c r="K43" s="4" t="s">
        <v>80</v>
      </c>
      <c r="L43" s="4" t="s">
        <v>722</v>
      </c>
      <c r="M43" s="14" t="s"/>
      <c r="N43" s="14" t="s"/>
      <c r="O43" s="14" t="s"/>
      <c r="P43" s="14" t="s"/>
      <c r="Q43" s="14" t="s"/>
      <c r="R43" s="14" t="s"/>
      <c r="S43" s="14" t="s"/>
      <c r="T43" s="14" t="s"/>
      <c r="U43" s="14" t="s"/>
      <c r="V43" t="s">
        <v>723</v>
      </c>
      <c r="W43" t="s">
        <v>724</v>
      </c>
      <c r="X43" t="s">
        <v>725</v>
      </c>
      <c r="Y43" t="s">
        <v>726</v>
      </c>
      <c r="Z43" t="s">
        <v>727</v>
      </c>
      <c r="AA43" t="s">
        <v>728</v>
      </c>
      <c r="AB43" t="s">
        <v>729</v>
      </c>
      <c r="AC43" t="s">
        <v>730</v>
      </c>
      <c r="AD43" t="s">
        <v>731</v>
      </c>
      <c r="AE43" t="s">
        <v>732</v>
      </c>
      <c r="AF43" t="s">
        <v>733</v>
      </c>
      <c r="AG43" t="s">
        <v>734</v>
      </c>
      <c r="AI43" s="4" t="s">
        <v>126</v>
      </c>
      <c r="AJ43" s="14" t="s"/>
      <c r="AK43" s="14" t="s"/>
      <c r="AL43" s="14" t="s"/>
      <c r="AM43" s="14" t="s"/>
      <c r="AN43" s="14" t="s"/>
      <c r="AO43" s="14" t="s"/>
      <c r="AP43" s="14" t="s"/>
      <c r="AQ43" s="14" t="s"/>
      <c r="AR43" s="14" t="s"/>
      <c r="AS43" s="14" t="s"/>
      <c r="AT43" s="4" t="s">
        <v>64</v>
      </c>
      <c r="AU43" s="4" t="s">
        <v>65</v>
      </c>
      <c r="AV43" s="4" t="s">
        <v>66</v>
      </c>
    </row>
    <row r="44" spans="1:48">
      <c r="A44" s="5">
        <v>43</v>
      </c>
      <c r="B44" s="12">
        <v>46026.1094212962</v>
      </c>
      <c r="C44" s="12">
        <v>46026.1329513889</v>
      </c>
      <c r="D44" s="13">
        <v>2033</v>
      </c>
      <c r="E44" s="4" t="s">
        <v>37</v>
      </c>
      <c r="F44" s="4" t="s">
        <v>560</v>
      </c>
      <c r="G44" s="4" t="s">
        <v>560</v>
      </c>
      <c r="H44" s="14" t="s"/>
      <c r="I44" s="4" t="s">
        <v>735</v>
      </c>
      <c r="J44" s="4" t="s">
        <v>736</v>
      </c>
      <c r="K44" s="14" t="s"/>
      <c r="L44" s="4" t="s">
        <v>737</v>
      </c>
      <c r="M44" s="14" t="s"/>
      <c r="N44" s="14" t="s"/>
      <c r="O44" s="14" t="s"/>
      <c r="P44" s="14" t="s"/>
      <c r="Q44" s="14" t="s"/>
      <c r="R44" s="14" t="s"/>
      <c r="S44" s="14" t="s"/>
      <c r="T44" s="14" t="s"/>
      <c r="U44" s="14" t="s"/>
      <c r="V44" t="s">
        <v>738</v>
      </c>
      <c r="W44" t="s">
        <v>739</v>
      </c>
      <c r="X44" t="s">
        <v>740</v>
      </c>
      <c r="Y44" t="s">
        <v>741</v>
      </c>
      <c r="Z44" t="s">
        <v>742</v>
      </c>
      <c r="AA44" t="s">
        <v>743</v>
      </c>
      <c r="AB44" t="s">
        <v>744</v>
      </c>
      <c r="AC44" t="s">
        <v>745</v>
      </c>
      <c r="AD44" t="s">
        <v>746</v>
      </c>
      <c r="AE44" t="s">
        <v>747</v>
      </c>
      <c r="AF44" t="s">
        <v>748</v>
      </c>
      <c r="AG44" t="s">
        <v>749</v>
      </c>
      <c r="AI44" s="4" t="s">
        <v>55</v>
      </c>
      <c r="AJ44" s="4" t="s">
        <f>=HYPERLINK("https://wj-collection-1258344706.cos.ap-guangzhou.myqcloud.com/formal/25118307/q-11-ZXt3/25118307_0_c1178c83cc21a752bcc7e1c8fd220733.jpg?q-sign-algorithm=sha1&amp;q-ak=AKID3dz5uN4cMpGamjMvBaySkOoxwmMgMacO&amp;q-sign-time=1768053978%3B1768658778&amp;q-key-time=1768053978%3B1768658778&amp;q-header-list=host&amp;q-url-param-list=&amp;q-signature=e90c2ecfe931f23f0fe2af5c40083286f0d316a1","7fc6accdfc1eb5f4d78a90f54d12d785.jpg(链接7天有效，失效请重新同步)")</f>
        <v>750</v>
      </c>
      <c r="AK44" s="14" t="s"/>
      <c r="AL44" s="14" t="s"/>
      <c r="AM44" s="14" t="s"/>
      <c r="AN44" s="14" t="s"/>
      <c r="AO44" s="14" t="s"/>
      <c r="AP44" s="14" t="s"/>
      <c r="AQ44" s="14" t="s"/>
      <c r="AR44" s="14" t="s"/>
      <c r="AS44" s="14" t="s"/>
      <c r="AT44" s="4" t="s">
        <v>64</v>
      </c>
      <c r="AU44" s="4" t="s">
        <v>65</v>
      </c>
      <c r="AV44" s="4" t="s">
        <v>66</v>
      </c>
    </row>
    <row r="45" spans="1:48">
      <c r="A45" s="5">
        <v>44</v>
      </c>
      <c r="B45" s="12">
        <v>46026.5826736111</v>
      </c>
      <c r="C45" s="12">
        <v>46026.5881944445</v>
      </c>
      <c r="D45" s="13">
        <v>477</v>
      </c>
      <c r="E45" s="4" t="s">
        <v>37</v>
      </c>
      <c r="F45" s="4" t="s">
        <v>98</v>
      </c>
      <c r="G45" s="4" t="s">
        <v>98</v>
      </c>
      <c r="H45" s="14" t="s"/>
      <c r="I45" s="4" t="s">
        <v>751</v>
      </c>
      <c r="J45" s="4" t="s">
        <v>752</v>
      </c>
      <c r="K45" s="14" t="s"/>
      <c r="L45" s="8" t="s">
        <v>753</v>
      </c>
      <c r="M45" s="14" t="s"/>
      <c r="N45" s="14" t="s"/>
      <c r="O45" s="14" t="s"/>
      <c r="P45" s="14" t="s"/>
      <c r="Q45" s="14" t="s"/>
      <c r="R45" s="14" t="s"/>
      <c r="S45" s="14" t="s"/>
      <c r="T45" s="14" t="s"/>
      <c r="U45" s="14" t="s"/>
      <c r="V45" t="s">
        <v>754</v>
      </c>
      <c r="W45" t="s">
        <v>755</v>
      </c>
      <c r="X45" t="s">
        <v>756</v>
      </c>
      <c r="Y45" t="s">
        <v>757</v>
      </c>
      <c r="Z45" t="s">
        <v>758</v>
      </c>
      <c r="AA45" t="s">
        <v>759</v>
      </c>
      <c r="AB45" t="s">
        <v>760</v>
      </c>
      <c r="AC45" s="30" t="s">
        <v>761</v>
      </c>
      <c r="AD45" t="s">
        <v>762</v>
      </c>
      <c r="AE45" t="s">
        <v>763</v>
      </c>
      <c r="AF45" s="30" t="s">
        <v>764</v>
      </c>
      <c r="AG45" s="28" t="s">
        <v>765</v>
      </c>
      <c r="AI45" s="4" t="s">
        <v>55</v>
      </c>
      <c r="AJ45" s="14" t="s"/>
      <c r="AK45" s="14" t="s"/>
      <c r="AL45" s="14" t="s"/>
      <c r="AM45" s="14" t="s"/>
      <c r="AN45" s="14" t="s"/>
      <c r="AO45" s="14" t="s"/>
      <c r="AP45" s="14" t="s"/>
      <c r="AQ45" s="14" t="s"/>
      <c r="AR45" s="14" t="s"/>
      <c r="AS45" s="14" t="s"/>
      <c r="AT45" s="4" t="s">
        <v>64</v>
      </c>
      <c r="AU45" s="4" t="s">
        <v>65</v>
      </c>
      <c r="AV45" s="4" t="s">
        <v>66</v>
      </c>
    </row>
    <row r="46" spans="1:48">
      <c r="A46" s="5">
        <v>45</v>
      </c>
      <c r="B46" s="12">
        <v>46027.5594097222</v>
      </c>
      <c r="C46" s="12">
        <v>46027.5635416667</v>
      </c>
      <c r="D46" s="13">
        <v>357</v>
      </c>
      <c r="E46" s="4" t="s">
        <v>37</v>
      </c>
      <c r="F46" s="4" t="s">
        <v>766</v>
      </c>
      <c r="G46" s="4" t="s">
        <v>766</v>
      </c>
      <c r="H46" s="14" t="s"/>
      <c r="I46" s="4" t="s">
        <v>767</v>
      </c>
      <c r="J46" s="4" t="s">
        <v>408</v>
      </c>
      <c r="K46" s="4" t="s">
        <v>80</v>
      </c>
      <c r="L46" s="4" t="s">
        <v>768</v>
      </c>
      <c r="M46" s="14" t="s"/>
      <c r="N46" s="14" t="s"/>
      <c r="O46" s="14" t="s"/>
      <c r="P46" s="14" t="s"/>
      <c r="Q46" s="14" t="s"/>
      <c r="R46" s="14" t="s"/>
      <c r="S46" s="14" t="s"/>
      <c r="T46" s="14" t="s"/>
      <c r="U46" s="14" t="s"/>
      <c r="V46" t="s">
        <v>769</v>
      </c>
      <c r="W46" t="s">
        <v>770</v>
      </c>
      <c r="X46" t="s">
        <v>771</v>
      </c>
      <c r="Y46" t="s">
        <v>772</v>
      </c>
      <c r="Z46" t="s">
        <v>773</v>
      </c>
      <c r="AI46" s="4" t="s">
        <v>126</v>
      </c>
      <c r="AJ46" s="14" t="s"/>
      <c r="AK46" s="14" t="s"/>
      <c r="AL46" s="14" t="s"/>
      <c r="AM46" s="14" t="s"/>
      <c r="AN46" s="14" t="s"/>
      <c r="AO46" s="14" t="s"/>
      <c r="AP46" s="14" t="s"/>
      <c r="AQ46" s="14" t="s"/>
      <c r="AR46" s="14" t="s"/>
      <c r="AS46" s="14" t="s"/>
      <c r="AT46" s="4" t="s">
        <v>64</v>
      </c>
      <c r="AU46" s="4" t="s">
        <v>65</v>
      </c>
      <c r="AV46" s="4" t="s">
        <v>66</v>
      </c>
    </row>
    <row r="47" spans="1:48">
      <c r="A47" s="5">
        <v>46</v>
      </c>
      <c r="B47" s="12">
        <v>46028.0455439815</v>
      </c>
      <c r="C47" s="12">
        <v>46028.055162037</v>
      </c>
      <c r="D47" s="13">
        <v>831</v>
      </c>
      <c r="E47" s="4" t="s">
        <v>37</v>
      </c>
      <c r="F47" s="4" t="s">
        <v>38</v>
      </c>
      <c r="G47" s="4" t="s">
        <v>774</v>
      </c>
      <c r="H47" s="14" t="s"/>
      <c r="I47" s="4" t="s">
        <v>775</v>
      </c>
      <c r="J47" s="4" t="s">
        <v>776</v>
      </c>
      <c r="K47" s="4" t="s">
        <v>80</v>
      </c>
      <c r="L47" s="8" t="s">
        <v>777</v>
      </c>
      <c r="M47" s="14" t="s"/>
      <c r="N47" s="14" t="s"/>
      <c r="O47" s="14" t="s"/>
      <c r="P47" s="14" t="s"/>
      <c r="Q47" s="14" t="s"/>
      <c r="R47" s="14" t="s"/>
      <c r="S47" s="14" t="s"/>
      <c r="T47" s="14" t="s"/>
      <c r="U47" s="14" t="s"/>
      <c r="V47" t="s">
        <v>778</v>
      </c>
      <c r="W47" t="s">
        <v>779</v>
      </c>
      <c r="X47" s="30" t="s">
        <v>780</v>
      </c>
      <c r="Y47" s="30" t="s">
        <v>781</v>
      </c>
      <c r="Z47" t="s">
        <v>782</v>
      </c>
      <c r="AA47" t="s">
        <v>783</v>
      </c>
      <c r="AB47" t="s">
        <v>784</v>
      </c>
      <c r="AC47" s="28" t="s">
        <v>785</v>
      </c>
      <c r="AD47" t="s">
        <v>786</v>
      </c>
      <c r="AE47" t="s">
        <v>787</v>
      </c>
      <c r="AF47" t="s">
        <v>788</v>
      </c>
      <c r="AI47" s="4" t="s">
        <v>55</v>
      </c>
      <c r="AJ47" s="14" t="s"/>
      <c r="AK47" s="14" t="s"/>
      <c r="AL47" s="14" t="s"/>
      <c r="AM47" s="14" t="s"/>
      <c r="AN47" s="14" t="s"/>
      <c r="AO47" s="14" t="s"/>
      <c r="AP47" s="14" t="s"/>
      <c r="AQ47" s="14" t="s"/>
      <c r="AR47" s="14" t="s"/>
      <c r="AS47" s="4" t="s">
        <v>789</v>
      </c>
      <c r="AT47" s="4" t="s">
        <v>64</v>
      </c>
      <c r="AU47" s="4" t="s">
        <v>65</v>
      </c>
      <c r="AV47" s="4" t="s">
        <v>66</v>
      </c>
    </row>
    <row r="48" spans="1:48">
      <c r="A48" s="5">
        <v>47</v>
      </c>
      <c r="B48" s="12">
        <v>46028.5832175926</v>
      </c>
      <c r="C48" s="12">
        <v>46028.585775463</v>
      </c>
      <c r="D48" s="13">
        <v>221</v>
      </c>
      <c r="E48" s="4" t="s">
        <v>37</v>
      </c>
      <c r="F48" s="4" t="s">
        <v>560</v>
      </c>
      <c r="G48" s="4" t="s">
        <v>560</v>
      </c>
      <c r="H48" s="14" t="s"/>
      <c r="I48" s="4" t="s">
        <v>790</v>
      </c>
      <c r="J48" s="4" t="s">
        <v>791</v>
      </c>
      <c r="K48" s="14" t="s"/>
      <c r="L48" s="4" t="s">
        <v>792</v>
      </c>
      <c r="M48" s="14" t="s"/>
      <c r="N48" s="14" t="s"/>
      <c r="O48" s="14" t="s"/>
      <c r="P48" s="14" t="s"/>
      <c r="Q48" s="14" t="s"/>
      <c r="R48" s="14" t="s"/>
      <c r="S48" s="14" t="s"/>
      <c r="T48" s="14" t="s"/>
      <c r="U48" s="14" t="s"/>
      <c r="V48" t="s">
        <v>793</v>
      </c>
      <c r="W48" t="s">
        <v>794</v>
      </c>
      <c r="X48" t="s">
        <v>795</v>
      </c>
      <c r="Y48" t="s">
        <v>796</v>
      </c>
      <c r="Z48" t="s">
        <v>797</v>
      </c>
      <c r="AA48" t="s">
        <v>798</v>
      </c>
      <c r="AI48" s="4" t="s">
        <v>126</v>
      </c>
      <c r="AJ48" s="14" t="s"/>
      <c r="AK48" s="14" t="s"/>
      <c r="AL48" s="14" t="s"/>
      <c r="AM48" s="14" t="s"/>
      <c r="AN48" s="14" t="s"/>
      <c r="AO48" s="14" t="s"/>
      <c r="AP48" s="14" t="s"/>
      <c r="AQ48" s="14" t="s"/>
      <c r="AR48" s="14" t="s"/>
      <c r="AS48" s="14" t="s"/>
      <c r="AT48" s="4" t="s">
        <v>64</v>
      </c>
      <c r="AU48" s="4" t="s">
        <v>65</v>
      </c>
      <c r="AV48" s="4" t="s">
        <v>66</v>
      </c>
    </row>
    <row r="49" spans="1:48">
      <c r="A49" s="5">
        <v>48</v>
      </c>
      <c r="B49" s="12">
        <v>46029.7664930556</v>
      </c>
      <c r="C49" s="12">
        <v>46029.7768402778</v>
      </c>
      <c r="D49" s="13">
        <v>894</v>
      </c>
      <c r="E49" s="4" t="s">
        <v>37</v>
      </c>
      <c r="F49" s="4" t="s">
        <v>98</v>
      </c>
      <c r="G49" s="4" t="s">
        <v>98</v>
      </c>
      <c r="H49" s="14" t="s"/>
      <c r="I49" s="4" t="s">
        <v>799</v>
      </c>
      <c r="J49" s="4" t="s">
        <v>800</v>
      </c>
      <c r="K49" s="4" t="s">
        <v>80</v>
      </c>
      <c r="L49" s="4" t="s">
        <v>801</v>
      </c>
      <c r="M49" s="14" t="s"/>
      <c r="N49" s="14" t="s"/>
      <c r="O49" s="14" t="s"/>
      <c r="P49" s="14" t="s"/>
      <c r="Q49" s="14" t="s"/>
      <c r="R49" s="14" t="s"/>
      <c r="S49" s="14" t="s"/>
      <c r="T49" s="14" t="s"/>
      <c r="U49" s="14" t="s"/>
      <c r="V49" t="s">
        <v>802</v>
      </c>
      <c r="W49" t="s">
        <v>803</v>
      </c>
      <c r="X49" t="s">
        <v>804</v>
      </c>
      <c r="Y49" t="s">
        <v>805</v>
      </c>
      <c r="Z49" t="s">
        <v>806</v>
      </c>
      <c r="AA49" t="s">
        <v>807</v>
      </c>
      <c r="AB49" s="28" t="s">
        <v>808</v>
      </c>
      <c r="AC49" t="s">
        <v>809</v>
      </c>
      <c r="AD49" t="s">
        <v>810</v>
      </c>
      <c r="AE49" t="s">
        <v>811</v>
      </c>
      <c r="AF49" t="s">
        <v>812</v>
      </c>
      <c r="AI49" s="4" t="s">
        <v>55</v>
      </c>
      <c r="AJ49" s="14" t="s"/>
      <c r="AK49" s="14" t="s"/>
      <c r="AL49" s="14" t="s"/>
      <c r="AM49" s="14" t="s"/>
      <c r="AN49" s="14" t="s"/>
      <c r="AO49" s="14" t="s"/>
      <c r="AP49" s="14" t="s"/>
      <c r="AQ49" s="14" t="s"/>
      <c r="AR49" s="14" t="s"/>
      <c r="AS49" s="14" t="s"/>
      <c r="AT49" s="4" t="s">
        <v>64</v>
      </c>
      <c r="AU49" s="4" t="s">
        <v>65</v>
      </c>
      <c r="AV49" s="4" t="s">
        <v>66</v>
      </c>
    </row>
    <row r="50" spans="1:48">
      <c r="A50" s="5">
        <v>49</v>
      </c>
      <c r="B50" s="12">
        <v>46030.5847453704</v>
      </c>
      <c r="C50" s="12">
        <v>46030.5903356482</v>
      </c>
      <c r="D50" s="13">
        <v>483</v>
      </c>
      <c r="E50" s="4" t="s">
        <v>37</v>
      </c>
      <c r="F50" s="4" t="s">
        <v>193</v>
      </c>
      <c r="G50" s="4" t="s">
        <v>194</v>
      </c>
      <c r="H50" s="14" t="s"/>
      <c r="I50" s="4" t="s">
        <v>813</v>
      </c>
      <c r="J50" s="4" t="s">
        <v>814</v>
      </c>
      <c r="K50" s="4" t="s">
        <v>316</v>
      </c>
      <c r="L50" s="19" t="s">
        <v>815</v>
      </c>
      <c r="M50" s="14" t="s"/>
      <c r="N50" s="14" t="s"/>
      <c r="O50" s="14" t="s"/>
      <c r="P50" s="14" t="s"/>
      <c r="Q50" s="14" t="s"/>
      <c r="R50" s="14" t="s"/>
      <c r="S50" s="14" t="s"/>
      <c r="T50" s="14" t="s"/>
      <c r="U50" s="14" t="s"/>
      <c r="V50" t="s">
        <v>816</v>
      </c>
      <c r="W50" t="s">
        <v>817</v>
      </c>
      <c r="X50" t="s">
        <v>818</v>
      </c>
      <c r="Y50" t="s">
        <v>819</v>
      </c>
      <c r="Z50" t="s">
        <v>820</v>
      </c>
      <c r="AA50" t="s">
        <v>821</v>
      </c>
      <c r="AB50" t="s">
        <v>822</v>
      </c>
      <c r="AI50" s="4" t="s">
        <v>126</v>
      </c>
      <c r="AJ50" s="14" t="s"/>
      <c r="AK50" s="14" t="s"/>
      <c r="AL50" s="14" t="s"/>
      <c r="AM50" s="14" t="s"/>
      <c r="AN50" s="14" t="s"/>
      <c r="AO50" s="14" t="s"/>
      <c r="AP50" s="14" t="s"/>
      <c r="AQ50" s="14" t="s"/>
      <c r="AR50" s="14" t="s"/>
      <c r="AS50" s="14" t="s"/>
      <c r="AT50" s="4" t="s">
        <v>64</v>
      </c>
      <c r="AU50" s="4" t="s">
        <v>65</v>
      </c>
      <c r="AV50" s="4" t="s">
        <v>66</v>
      </c>
    </row>
    <row r="51" spans="1:48">
      <c r="A51" s="5">
        <v>50</v>
      </c>
      <c r="B51" s="12">
        <v>46032.6854282407</v>
      </c>
      <c r="C51" s="12">
        <v>46032.6855787037</v>
      </c>
      <c r="D51" s="13">
        <v>13</v>
      </c>
      <c r="E51" s="4" t="s">
        <v>37</v>
      </c>
      <c r="F51" s="4" t="s">
        <v>638</v>
      </c>
      <c r="G51" s="4" t="s">
        <v>823</v>
      </c>
      <c r="H51" s="14" t="s"/>
      <c r="I51" s="4" t="s">
        <v>824</v>
      </c>
      <c r="J51" s="4" t="s">
        <v>825</v>
      </c>
      <c r="K51" s="14" t="s"/>
      <c r="L51" s="4" t="s">
        <v>826</v>
      </c>
      <c r="M51" s="14" t="s"/>
      <c r="N51" s="14" t="s"/>
      <c r="O51" s="14" t="s"/>
      <c r="P51" s="14" t="s"/>
      <c r="Q51" s="14" t="s"/>
      <c r="R51" s="14" t="s"/>
      <c r="S51" s="14" t="s"/>
      <c r="T51" s="14" t="s"/>
      <c r="U51" s="14" t="s"/>
      <c r="V51" t="s">
        <v>827</v>
      </c>
      <c r="W51" t="s">
        <v>828</v>
      </c>
      <c r="X51" t="s">
        <v>829</v>
      </c>
      <c r="Y51" t="s">
        <v>830</v>
      </c>
      <c r="Z51" t="s">
        <v>831</v>
      </c>
      <c r="AA51" t="s">
        <v>832</v>
      </c>
      <c r="AB51" t="s">
        <v>833</v>
      </c>
      <c r="AC51" t="s">
        <v>834</v>
      </c>
      <c r="AI51" s="4" t="s">
        <v>126</v>
      </c>
      <c r="AJ51" s="14" t="s"/>
      <c r="AK51" s="14" t="s"/>
      <c r="AL51" s="14" t="s"/>
      <c r="AM51" s="14" t="s"/>
      <c r="AN51" s="14" t="s"/>
      <c r="AO51" s="14" t="s"/>
      <c r="AP51" s="14" t="s"/>
      <c r="AQ51" s="14" t="s"/>
      <c r="AR51" s="14" t="s"/>
      <c r="AS51" s="14" t="s"/>
      <c r="AT51" s="4" t="s">
        <v>64</v>
      </c>
      <c r="AU51" s="4" t="s">
        <v>65</v>
      </c>
      <c r="AV51" s="4" t="s">
        <v>66</v>
      </c>
    </row>
    <row r="52" spans="1:48">
      <c r="A52" s="14" t="s"/>
      <c r="B52" s="14" t="s"/>
      <c r="C52" s="14" t="s"/>
      <c r="D52" s="14" t="s"/>
      <c r="E52" s="14" t="s"/>
      <c r="F52" s="14" t="s"/>
      <c r="G52" s="14" t="s"/>
      <c r="H52" s="14" t="s"/>
      <c r="I52" s="14" t="s"/>
      <c r="J52" s="14" t="s"/>
      <c r="K52" s="14" t="s"/>
      <c r="L52" s="14" t="s"/>
      <c r="M52" s="14" t="s"/>
      <c r="N52" s="14" t="s"/>
      <c r="O52" s="14" t="s"/>
      <c r="P52" s="14" t="s"/>
      <c r="Q52" s="14" t="s"/>
      <c r="R52" s="14" t="s"/>
      <c r="S52" s="14" t="s"/>
      <c r="T52" s="14" t="s"/>
      <c r="U52" s="14" t="s"/>
      <c r="AI52" s="14" t="s"/>
      <c r="AJ52" s="14" t="s"/>
      <c r="AK52" s="14" t="s"/>
      <c r="AL52" s="14" t="s"/>
      <c r="AM52" s="14" t="s"/>
      <c r="AN52" s="14" t="s"/>
      <c r="AO52" s="14" t="s"/>
      <c r="AP52" s="14" t="s"/>
      <c r="AQ52" s="14" t="s"/>
      <c r="AR52" s="14" t="s"/>
      <c r="AS52" s="14" t="s"/>
      <c r="AT52" s="14" t="s"/>
      <c r="AU52" s="14" t="s"/>
      <c r="AV52" s="14" t="s"/>
    </row>
    <row r="53" spans="1:48">
      <c r="A53" s="14" t="s"/>
      <c r="B53" s="14" t="s"/>
      <c r="C53" s="14" t="s"/>
      <c r="D53" s="14" t="s"/>
      <c r="E53" s="14" t="s"/>
      <c r="F53" s="14" t="s"/>
      <c r="G53" s="14" t="s"/>
      <c r="H53" s="14" t="s"/>
      <c r="I53" s="14" t="s"/>
      <c r="J53" s="14" t="s"/>
      <c r="K53" s="14" t="s"/>
      <c r="L53" s="14" t="s"/>
      <c r="M53" s="14" t="s"/>
      <c r="N53" s="14" t="s"/>
      <c r="O53" s="14" t="s"/>
      <c r="P53" s="14" t="s"/>
      <c r="Q53" s="14" t="s"/>
      <c r="R53" s="14" t="s"/>
      <c r="S53" s="14" t="s"/>
      <c r="T53" s="14" t="s"/>
      <c r="U53" s="14" t="s"/>
      <c r="AI53" s="14" t="s"/>
      <c r="AJ53" s="14" t="s"/>
      <c r="AK53" s="14" t="s"/>
      <c r="AL53" s="14" t="s"/>
      <c r="AM53" s="14" t="s"/>
      <c r="AN53" s="14" t="s"/>
      <c r="AO53" s="14" t="s"/>
      <c r="AP53" s="14" t="s"/>
      <c r="AQ53" s="14" t="s"/>
      <c r="AR53" s="14" t="s"/>
      <c r="AS53" s="14" t="s"/>
      <c r="AT53" s="14" t="s"/>
      <c r="AU53" s="14" t="s"/>
      <c r="AV53" s="14" t="s"/>
    </row>
    <row r="54" spans="1:48">
      <c r="A54" s="14" t="s"/>
      <c r="B54" s="14" t="s"/>
      <c r="C54" s="14" t="s"/>
      <c r="D54" s="14" t="s"/>
      <c r="E54" s="14" t="s"/>
      <c r="F54" s="14" t="s"/>
      <c r="G54" s="14" t="s"/>
      <c r="H54" s="14" t="s"/>
      <c r="I54" s="14" t="s"/>
      <c r="J54" s="14" t="s"/>
      <c r="K54" s="14" t="s"/>
      <c r="L54" s="14" t="s"/>
      <c r="M54" s="14" t="s"/>
      <c r="N54" s="14" t="s"/>
      <c r="O54" s="14" t="s"/>
      <c r="P54" s="14" t="s"/>
      <c r="Q54" s="14" t="s"/>
      <c r="R54" s="14" t="s"/>
      <c r="S54" s="14" t="s"/>
      <c r="T54" s="14" t="s"/>
      <c r="U54" s="14" t="s"/>
      <c r="AI54" s="14" t="s"/>
      <c r="AJ54" s="14" t="s"/>
      <c r="AK54" s="14" t="s"/>
      <c r="AL54" s="14" t="s"/>
      <c r="AM54" s="14" t="s"/>
      <c r="AN54" s="14" t="s"/>
      <c r="AO54" s="14" t="s"/>
      <c r="AP54" s="14" t="s"/>
      <c r="AQ54" s="14" t="s"/>
      <c r="AR54" s="14" t="s"/>
      <c r="AS54" s="14" t="s"/>
      <c r="AT54" s="14" t="s"/>
      <c r="AU54" s="14" t="s"/>
      <c r="AV54" s="14" t="s"/>
    </row>
    <row r="55" spans="1:48">
      <c r="A55" s="14" t="s"/>
      <c r="B55" s="14" t="s"/>
      <c r="C55" s="14" t="s"/>
      <c r="D55" s="14" t="s"/>
      <c r="E55" s="14" t="s"/>
      <c r="F55" s="14" t="s"/>
      <c r="G55" s="14" t="s"/>
      <c r="H55" s="14" t="s"/>
      <c r="I55" s="14" t="s"/>
      <c r="J55" s="14" t="s"/>
      <c r="K55" s="14" t="s"/>
      <c r="L55" s="14" t="s"/>
      <c r="M55" s="14" t="s"/>
      <c r="N55" s="14" t="s"/>
      <c r="O55" s="14" t="s"/>
      <c r="P55" s="14" t="s"/>
      <c r="Q55" s="14" t="s"/>
      <c r="R55" s="14" t="s"/>
      <c r="S55" s="14" t="s"/>
      <c r="T55" s="14" t="s"/>
      <c r="U55" s="14" t="s"/>
      <c r="AI55" s="14" t="s"/>
      <c r="AJ55" s="14" t="s"/>
      <c r="AK55" s="14" t="s"/>
      <c r="AL55" s="14" t="s"/>
      <c r="AM55" s="14" t="s"/>
      <c r="AN55" s="14" t="s"/>
      <c r="AO55" s="14" t="s"/>
      <c r="AP55" s="14" t="s"/>
      <c r="AQ55" s="14" t="s"/>
      <c r="AR55" s="14" t="s"/>
      <c r="AS55" s="14" t="s"/>
      <c r="AT55" s="14" t="s"/>
      <c r="AU55" s="14" t="s"/>
      <c r="AV55" s="14" t="s"/>
    </row>
    <row r="56" spans="1:48">
      <c r="A56" s="14" t="s"/>
      <c r="B56" s="14" t="s"/>
      <c r="C56" s="14" t="s"/>
      <c r="D56" s="14" t="s"/>
      <c r="E56" s="14" t="s"/>
      <c r="F56" s="14" t="s"/>
      <c r="G56" s="14" t="s"/>
      <c r="H56" s="14" t="s"/>
      <c r="I56" s="14" t="s"/>
      <c r="J56" s="14" t="s"/>
      <c r="K56" s="14" t="s"/>
      <c r="L56" s="14" t="s"/>
      <c r="M56" s="14" t="s"/>
      <c r="N56" s="14" t="s"/>
      <c r="O56" s="14" t="s"/>
      <c r="P56" s="14" t="s"/>
      <c r="Q56" s="14" t="s"/>
      <c r="R56" s="14" t="s"/>
      <c r="S56" s="14" t="s"/>
      <c r="T56" s="14" t="s"/>
      <c r="U56" s="14" t="s"/>
      <c r="AI56" s="14" t="s"/>
      <c r="AJ56" s="14" t="s"/>
      <c r="AK56" s="14" t="s"/>
      <c r="AL56" s="14" t="s"/>
      <c r="AM56" s="14" t="s"/>
      <c r="AN56" s="14" t="s"/>
      <c r="AO56" s="14" t="s"/>
      <c r="AP56" s="14" t="s"/>
      <c r="AQ56" s="14" t="s"/>
      <c r="AR56" s="14" t="s"/>
      <c r="AS56" s="14" t="s"/>
      <c r="AT56" s="14" t="s"/>
      <c r="AU56" s="14" t="s"/>
      <c r="AV56" s="14" t="s"/>
    </row>
    <row r="57" spans="1:48">
      <c r="A57" s="14" t="s"/>
      <c r="B57" s="14" t="s"/>
      <c r="C57" s="14" t="s"/>
      <c r="D57" s="14" t="s"/>
      <c r="E57" s="14" t="s"/>
      <c r="F57" s="14" t="s"/>
      <c r="G57" s="14" t="s"/>
      <c r="H57" s="14" t="s"/>
      <c r="I57" s="14" t="s"/>
      <c r="J57" s="14" t="s"/>
      <c r="K57" s="14" t="s"/>
      <c r="L57" s="14" t="s"/>
      <c r="M57" s="14" t="s"/>
      <c r="N57" s="14" t="s"/>
      <c r="O57" s="14" t="s"/>
      <c r="P57" s="14" t="s"/>
      <c r="Q57" s="14" t="s"/>
      <c r="R57" s="14" t="s"/>
      <c r="S57" s="14" t="s"/>
      <c r="T57" s="14" t="s"/>
      <c r="U57" s="14" t="s"/>
      <c r="AI57" s="14" t="s"/>
      <c r="AJ57" s="14" t="s"/>
      <c r="AK57" s="14" t="s"/>
      <c r="AL57" s="14" t="s"/>
      <c r="AM57" s="14" t="s"/>
      <c r="AN57" s="14" t="s"/>
      <c r="AO57" s="14" t="s"/>
      <c r="AP57" s="14" t="s"/>
      <c r="AQ57" s="14" t="s"/>
      <c r="AR57" s="14" t="s"/>
      <c r="AS57" s="14" t="s"/>
      <c r="AT57" s="14" t="s"/>
      <c r="AU57" s="14" t="s"/>
      <c r="AV57" s="14" t="s"/>
    </row>
    <row r="58" spans="1:48">
      <c r="A58" s="14" t="s"/>
      <c r="B58" s="14" t="s"/>
      <c r="C58" s="14" t="s"/>
      <c r="D58" s="14" t="s"/>
      <c r="E58" s="14" t="s"/>
      <c r="F58" s="14" t="s"/>
      <c r="G58" s="14" t="s"/>
      <c r="H58" s="14" t="s"/>
      <c r="I58" s="14" t="s"/>
      <c r="J58" s="14" t="s"/>
      <c r="K58" s="14" t="s"/>
      <c r="L58" s="14" t="s"/>
      <c r="M58" s="14" t="s"/>
      <c r="N58" s="14" t="s"/>
      <c r="O58" s="14" t="s"/>
      <c r="P58" s="14" t="s"/>
      <c r="Q58" s="14" t="s"/>
      <c r="R58" s="14" t="s"/>
      <c r="S58" s="14" t="s"/>
      <c r="T58" s="14" t="s"/>
      <c r="U58" s="14" t="s"/>
      <c r="AI58" s="14" t="s"/>
      <c r="AJ58" s="14" t="s"/>
      <c r="AK58" s="14" t="s"/>
      <c r="AL58" s="14" t="s"/>
      <c r="AM58" s="14" t="s"/>
      <c r="AN58" s="14" t="s"/>
      <c r="AO58" s="14" t="s"/>
      <c r="AP58" s="14" t="s"/>
      <c r="AQ58" s="14" t="s"/>
      <c r="AR58" s="14" t="s"/>
      <c r="AS58" s="14" t="s"/>
      <c r="AT58" s="14" t="s"/>
      <c r="AU58" s="14" t="s"/>
      <c r="AV58" s="14" t="s"/>
    </row>
    <row r="59" spans="1:48">
      <c r="A59" s="14" t="s"/>
      <c r="B59" s="14" t="s"/>
      <c r="C59" s="14" t="s"/>
      <c r="D59" s="14" t="s"/>
      <c r="E59" s="14" t="s"/>
      <c r="F59" s="14" t="s"/>
      <c r="G59" s="14" t="s"/>
      <c r="H59" s="14" t="s"/>
      <c r="I59" s="14" t="s"/>
      <c r="J59" s="14" t="s"/>
      <c r="K59" s="14" t="s"/>
      <c r="L59" s="14" t="s"/>
      <c r="M59" s="14" t="s"/>
      <c r="N59" s="14" t="s"/>
      <c r="O59" s="14" t="s"/>
      <c r="P59" s="14" t="s"/>
      <c r="Q59" s="14" t="s"/>
      <c r="R59" s="14" t="s"/>
      <c r="S59" s="14" t="s"/>
      <c r="T59" s="14" t="s"/>
      <c r="U59" s="14" t="s"/>
      <c r="AI59" s="14" t="s"/>
      <c r="AJ59" s="14" t="s"/>
      <c r="AK59" s="14" t="s"/>
      <c r="AL59" s="14" t="s"/>
      <c r="AM59" s="14" t="s"/>
      <c r="AN59" s="14" t="s"/>
      <c r="AO59" s="14" t="s"/>
      <c r="AP59" s="14" t="s"/>
      <c r="AQ59" s="14" t="s"/>
      <c r="AR59" s="14" t="s"/>
      <c r="AS59" s="14" t="s"/>
      <c r="AT59" s="14" t="s"/>
      <c r="AU59" s="14" t="s"/>
      <c r="AV59" s="14" t="s"/>
    </row>
    <row r="60" spans="1:48">
      <c r="A60" s="14" t="s"/>
      <c r="B60" s="14" t="s"/>
      <c r="C60" s="14" t="s"/>
      <c r="D60" s="14" t="s"/>
      <c r="E60" s="14" t="s"/>
      <c r="F60" s="14" t="s"/>
      <c r="G60" s="14" t="s"/>
      <c r="H60" s="14" t="s"/>
      <c r="I60" s="14" t="s"/>
      <c r="J60" s="14" t="s"/>
      <c r="K60" s="14" t="s"/>
      <c r="L60" s="14" t="s"/>
      <c r="M60" s="14" t="s"/>
      <c r="N60" s="14" t="s"/>
      <c r="O60" s="14" t="s"/>
      <c r="P60" s="14" t="s"/>
      <c r="Q60" s="14" t="s"/>
      <c r="R60" s="14" t="s"/>
      <c r="S60" s="14" t="s"/>
      <c r="T60" s="14" t="s"/>
      <c r="U60" s="14" t="s"/>
      <c r="AI60" s="14" t="s"/>
      <c r="AJ60" s="14" t="s"/>
      <c r="AK60" s="14" t="s"/>
      <c r="AL60" s="14" t="s"/>
      <c r="AM60" s="14" t="s"/>
      <c r="AN60" s="14" t="s"/>
      <c r="AO60" s="14" t="s"/>
      <c r="AP60" s="14" t="s"/>
      <c r="AQ60" s="14" t="s"/>
      <c r="AR60" s="14" t="s"/>
      <c r="AS60" s="14" t="s"/>
      <c r="AT60" s="14" t="s"/>
      <c r="AU60" s="14" t="s"/>
      <c r="AV60" s="14" t="s"/>
    </row>
    <row r="61" spans="1:48">
      <c r="A61" s="14" t="s"/>
      <c r="B61" s="14" t="s"/>
      <c r="C61" s="14" t="s"/>
      <c r="D61" s="14" t="s"/>
      <c r="E61" s="14" t="s"/>
      <c r="F61" s="14" t="s"/>
      <c r="G61" s="14" t="s"/>
      <c r="H61" s="14" t="s"/>
      <c r="I61" s="14" t="s"/>
      <c r="J61" s="14" t="s"/>
      <c r="K61" s="14" t="s"/>
      <c r="L61" s="14" t="s"/>
      <c r="M61" s="14" t="s"/>
      <c r="N61" s="14" t="s"/>
      <c r="O61" s="14" t="s"/>
      <c r="P61" s="14" t="s"/>
      <c r="Q61" s="14" t="s"/>
      <c r="R61" s="14" t="s"/>
      <c r="S61" s="14" t="s"/>
      <c r="T61" s="14" t="s"/>
      <c r="U61" s="14" t="s"/>
      <c r="AI61" s="14" t="s"/>
      <c r="AJ61" s="14" t="s"/>
      <c r="AK61" s="14" t="s"/>
      <c r="AL61" s="14" t="s"/>
      <c r="AM61" s="14" t="s"/>
      <c r="AN61" s="14" t="s"/>
      <c r="AO61" s="14" t="s"/>
      <c r="AP61" s="14" t="s"/>
      <c r="AQ61" s="14" t="s"/>
      <c r="AR61" s="14" t="s"/>
      <c r="AS61" s="14" t="s"/>
      <c r="AT61" s="14" t="s"/>
      <c r="AU61" s="14" t="s"/>
      <c r="AV61" s="14" t="s"/>
    </row>
    <row r="62" spans="1:48">
      <c r="A62" s="14" t="s"/>
      <c r="B62" s="14" t="s"/>
      <c r="C62" s="14" t="s"/>
      <c r="D62" s="14" t="s"/>
      <c r="E62" s="14" t="s"/>
      <c r="F62" s="14" t="s"/>
      <c r="G62" s="14" t="s"/>
      <c r="H62" s="14" t="s"/>
      <c r="I62" s="14" t="s"/>
      <c r="J62" s="14" t="s"/>
      <c r="K62" s="14" t="s"/>
      <c r="L62" s="14" t="s"/>
      <c r="M62" s="14" t="s"/>
      <c r="N62" s="14" t="s"/>
      <c r="O62" s="14" t="s"/>
      <c r="P62" s="14" t="s"/>
      <c r="Q62" s="14" t="s"/>
      <c r="R62" s="14" t="s"/>
      <c r="S62" s="14" t="s"/>
      <c r="T62" s="14" t="s"/>
      <c r="U62" s="14" t="s"/>
      <c r="AI62" s="14" t="s"/>
      <c r="AJ62" s="14" t="s"/>
      <c r="AK62" s="14" t="s"/>
      <c r="AL62" s="14" t="s"/>
      <c r="AM62" s="14" t="s"/>
      <c r="AN62" s="14" t="s"/>
      <c r="AO62" s="14" t="s"/>
      <c r="AP62" s="14" t="s"/>
      <c r="AQ62" s="14" t="s"/>
      <c r="AR62" s="14" t="s"/>
      <c r="AS62" s="14" t="s"/>
      <c r="AT62" s="14" t="s"/>
      <c r="AU62" s="14" t="s"/>
      <c r="AV62" s="14" t="s"/>
    </row>
    <row r="63" spans="1:48">
      <c r="A63" s="14" t="s"/>
      <c r="B63" s="14" t="s"/>
      <c r="C63" s="14" t="s"/>
      <c r="D63" s="14" t="s"/>
      <c r="E63" s="14" t="s"/>
      <c r="F63" s="14" t="s"/>
      <c r="G63" s="14" t="s"/>
      <c r="H63" s="14" t="s"/>
      <c r="I63" s="14" t="s"/>
      <c r="J63" s="14" t="s"/>
      <c r="K63" s="14" t="s"/>
      <c r="L63" s="14" t="s"/>
      <c r="M63" s="14" t="s"/>
      <c r="N63" s="14" t="s"/>
      <c r="O63" s="14" t="s"/>
      <c r="P63" s="14" t="s"/>
      <c r="Q63" s="14" t="s"/>
      <c r="R63" s="14" t="s"/>
      <c r="S63" s="14" t="s"/>
      <c r="T63" s="14" t="s"/>
      <c r="U63" s="14" t="s"/>
      <c r="AI63" s="14" t="s"/>
      <c r="AJ63" s="14" t="s"/>
      <c r="AK63" s="14" t="s"/>
      <c r="AL63" s="14" t="s"/>
      <c r="AM63" s="14" t="s"/>
      <c r="AN63" s="14" t="s"/>
      <c r="AO63" s="14" t="s"/>
      <c r="AP63" s="14" t="s"/>
      <c r="AQ63" s="14" t="s"/>
      <c r="AR63" s="14" t="s"/>
      <c r="AS63" s="14" t="s"/>
      <c r="AT63" s="14" t="s"/>
      <c r="AU63" s="14" t="s"/>
      <c r="AV63" s="14" t="s"/>
    </row>
    <row r="64" spans="1:48">
      <c r="A64" s="14" t="s"/>
      <c r="B64" s="14" t="s"/>
      <c r="C64" s="14" t="s"/>
      <c r="D64" s="14" t="s"/>
      <c r="E64" s="14" t="s"/>
      <c r="F64" s="14" t="s"/>
      <c r="G64" s="14" t="s"/>
      <c r="H64" s="14" t="s"/>
      <c r="I64" s="14" t="s"/>
      <c r="J64" s="14" t="s"/>
      <c r="K64" s="14" t="s"/>
      <c r="L64" s="14" t="s"/>
      <c r="M64" s="14" t="s"/>
      <c r="N64" s="14" t="s"/>
      <c r="O64" s="14" t="s"/>
      <c r="P64" s="14" t="s"/>
      <c r="Q64" s="14" t="s"/>
      <c r="R64" s="14" t="s"/>
      <c r="S64" s="14" t="s"/>
      <c r="T64" s="14" t="s"/>
      <c r="U64" s="14" t="s"/>
      <c r="AI64" s="14" t="s"/>
      <c r="AJ64" s="14" t="s"/>
      <c r="AK64" s="14" t="s"/>
      <c r="AL64" s="14" t="s"/>
      <c r="AM64" s="14" t="s"/>
      <c r="AN64" s="14" t="s"/>
      <c r="AO64" s="14" t="s"/>
      <c r="AP64" s="14" t="s"/>
      <c r="AQ64" s="14" t="s"/>
      <c r="AR64" s="14" t="s"/>
      <c r="AS64" s="14" t="s"/>
      <c r="AT64" s="14" t="s"/>
      <c r="AU64" s="14" t="s"/>
      <c r="AV64" s="14" t="s"/>
    </row>
    <row r="65" spans="1:48">
      <c r="A65" s="14" t="s"/>
      <c r="B65" s="14" t="s"/>
      <c r="C65" s="14" t="s"/>
      <c r="D65" s="14" t="s"/>
      <c r="E65" s="14" t="s"/>
      <c r="F65" s="14" t="s"/>
      <c r="G65" s="14" t="s"/>
      <c r="H65" s="14" t="s"/>
      <c r="I65" s="14" t="s"/>
      <c r="J65" s="14" t="s"/>
      <c r="K65" s="14" t="s"/>
      <c r="L65" s="14" t="s"/>
      <c r="M65" s="14" t="s"/>
      <c r="N65" s="14" t="s"/>
      <c r="O65" s="14" t="s"/>
      <c r="P65" s="14" t="s"/>
      <c r="Q65" s="14" t="s"/>
      <c r="R65" s="14" t="s"/>
      <c r="S65" s="14" t="s"/>
      <c r="T65" s="14" t="s"/>
      <c r="U65" s="14" t="s"/>
      <c r="AI65" s="14" t="s"/>
      <c r="AJ65" s="14" t="s"/>
      <c r="AK65" s="14" t="s"/>
      <c r="AL65" s="14" t="s"/>
      <c r="AM65" s="14" t="s"/>
      <c r="AN65" s="14" t="s"/>
      <c r="AO65" s="14" t="s"/>
      <c r="AP65" s="14" t="s"/>
      <c r="AQ65" s="14" t="s"/>
      <c r="AR65" s="14" t="s"/>
      <c r="AS65" s="14" t="s"/>
      <c r="AT65" s="14" t="s"/>
      <c r="AU65" s="14" t="s"/>
      <c r="AV65" s="14" t="s"/>
    </row>
    <row r="66" spans="1:48">
      <c r="A66" s="14" t="s"/>
      <c r="B66" s="14" t="s"/>
      <c r="C66" s="14" t="s"/>
      <c r="D66" s="14" t="s"/>
      <c r="E66" s="14" t="s"/>
      <c r="F66" s="14" t="s"/>
      <c r="G66" s="14" t="s"/>
      <c r="H66" s="14" t="s"/>
      <c r="I66" s="14" t="s"/>
      <c r="J66" s="14" t="s"/>
      <c r="K66" s="14" t="s"/>
      <c r="L66" s="14" t="s"/>
      <c r="M66" s="14" t="s"/>
      <c r="N66" s="14" t="s"/>
      <c r="O66" s="14" t="s"/>
      <c r="P66" s="14" t="s"/>
      <c r="Q66" s="14" t="s"/>
      <c r="R66" s="14" t="s"/>
      <c r="S66" s="14" t="s"/>
      <c r="T66" s="14" t="s"/>
      <c r="U66" s="14" t="s"/>
      <c r="AI66" s="14" t="s"/>
      <c r="AJ66" s="14" t="s"/>
      <c r="AK66" s="14" t="s"/>
      <c r="AL66" s="14" t="s"/>
      <c r="AM66" s="14" t="s"/>
      <c r="AN66" s="14" t="s"/>
      <c r="AO66" s="14" t="s"/>
      <c r="AP66" s="14" t="s"/>
      <c r="AQ66" s="14" t="s"/>
      <c r="AR66" s="14" t="s"/>
      <c r="AS66" s="14" t="s"/>
      <c r="AT66" s="14" t="s"/>
      <c r="AU66" s="14" t="s"/>
      <c r="AV66" s="14" t="s"/>
    </row>
    <row r="67" spans="1:48">
      <c r="A67" s="14" t="s"/>
      <c r="B67" s="14" t="s"/>
      <c r="C67" s="14" t="s"/>
      <c r="D67" s="14" t="s"/>
      <c r="E67" s="14" t="s"/>
      <c r="F67" s="14" t="s"/>
      <c r="G67" s="14" t="s"/>
      <c r="H67" s="14" t="s"/>
      <c r="I67" s="14" t="s"/>
      <c r="J67" s="14" t="s"/>
      <c r="K67" s="14" t="s"/>
      <c r="L67" s="14" t="s"/>
      <c r="M67" s="14" t="s"/>
      <c r="N67" s="14" t="s"/>
      <c r="O67" s="14" t="s"/>
      <c r="P67" s="14" t="s"/>
      <c r="Q67" s="14" t="s"/>
      <c r="R67" s="14" t="s"/>
      <c r="S67" s="14" t="s"/>
      <c r="T67" s="14" t="s"/>
      <c r="U67" s="14" t="s"/>
      <c r="AI67" s="14" t="s"/>
      <c r="AJ67" s="14" t="s"/>
      <c r="AK67" s="14" t="s"/>
      <c r="AL67" s="14" t="s"/>
      <c r="AM67" s="14" t="s"/>
      <c r="AN67" s="14" t="s"/>
      <c r="AO67" s="14" t="s"/>
      <c r="AP67" s="14" t="s"/>
      <c r="AQ67" s="14" t="s"/>
      <c r="AR67" s="14" t="s"/>
      <c r="AS67" s="14" t="s"/>
      <c r="AT67" s="14" t="s"/>
      <c r="AU67" s="14" t="s"/>
      <c r="AV67" s="14" t="s"/>
    </row>
    <row r="68" spans="1:48">
      <c r="A68" s="14" t="s"/>
      <c r="B68" s="14" t="s"/>
      <c r="C68" s="14" t="s"/>
      <c r="D68" s="14" t="s"/>
      <c r="E68" s="14" t="s"/>
      <c r="F68" s="14" t="s"/>
      <c r="G68" s="14" t="s"/>
      <c r="H68" s="14" t="s"/>
      <c r="I68" s="14" t="s"/>
      <c r="J68" s="14" t="s"/>
      <c r="K68" s="14" t="s"/>
      <c r="L68" s="14" t="s"/>
      <c r="M68" s="14" t="s"/>
      <c r="N68" s="14" t="s"/>
      <c r="O68" s="14" t="s"/>
      <c r="P68" s="14" t="s"/>
      <c r="Q68" s="14" t="s"/>
      <c r="R68" s="14" t="s"/>
      <c r="S68" s="14" t="s"/>
      <c r="T68" s="14" t="s"/>
      <c r="U68" s="14" t="s"/>
      <c r="AI68" s="14" t="s"/>
      <c r="AJ68" s="14" t="s"/>
      <c r="AK68" s="14" t="s"/>
      <c r="AL68" s="14" t="s"/>
      <c r="AM68" s="14" t="s"/>
      <c r="AN68" s="14" t="s"/>
      <c r="AO68" s="14" t="s"/>
      <c r="AP68" s="14" t="s"/>
      <c r="AQ68" s="14" t="s"/>
      <c r="AR68" s="14" t="s"/>
      <c r="AS68" s="14" t="s"/>
      <c r="AT68" s="14" t="s"/>
      <c r="AU68" s="14" t="s"/>
      <c r="AV68" s="14" t="s"/>
    </row>
    <row r="69" spans="1:48">
      <c r="A69" s="14" t="s"/>
      <c r="B69" s="14" t="s"/>
      <c r="C69" s="14" t="s"/>
      <c r="D69" s="14" t="s"/>
      <c r="E69" s="14" t="s"/>
      <c r="F69" s="14" t="s"/>
      <c r="G69" s="14" t="s"/>
      <c r="H69" s="14" t="s"/>
      <c r="I69" s="14" t="s"/>
      <c r="J69" s="14" t="s"/>
      <c r="K69" s="14" t="s"/>
      <c r="L69" s="14" t="s"/>
      <c r="M69" s="14" t="s"/>
      <c r="N69" s="14" t="s"/>
      <c r="O69" s="14" t="s"/>
      <c r="P69" s="14" t="s"/>
      <c r="Q69" s="14" t="s"/>
      <c r="R69" s="14" t="s"/>
      <c r="S69" s="14" t="s"/>
      <c r="T69" s="14" t="s"/>
      <c r="U69" s="14" t="s"/>
      <c r="AI69" s="14" t="s"/>
      <c r="AJ69" s="14" t="s"/>
      <c r="AK69" s="14" t="s"/>
      <c r="AL69" s="14" t="s"/>
      <c r="AM69" s="14" t="s"/>
      <c r="AN69" s="14" t="s"/>
      <c r="AO69" s="14" t="s"/>
      <c r="AP69" s="14" t="s"/>
      <c r="AQ69" s="14" t="s"/>
      <c r="AR69" s="14" t="s"/>
      <c r="AS69" s="14" t="s"/>
      <c r="AT69" s="14" t="s"/>
      <c r="AU69" s="14" t="s"/>
      <c r="AV69" s="14" t="s"/>
    </row>
    <row r="70" spans="1:48">
      <c r="A70" s="14" t="s"/>
      <c r="B70" s="14" t="s"/>
      <c r="C70" s="14" t="s"/>
      <c r="D70" s="14" t="s"/>
      <c r="E70" s="14" t="s"/>
      <c r="F70" s="14" t="s"/>
      <c r="G70" s="14" t="s"/>
      <c r="H70" s="14" t="s"/>
      <c r="I70" s="14" t="s"/>
      <c r="J70" s="14" t="s"/>
      <c r="K70" s="14" t="s"/>
      <c r="L70" s="14" t="s"/>
      <c r="M70" s="14" t="s"/>
      <c r="N70" s="14" t="s"/>
      <c r="O70" s="14" t="s"/>
      <c r="P70" s="14" t="s"/>
      <c r="Q70" s="14" t="s"/>
      <c r="R70" s="14" t="s"/>
      <c r="S70" s="14" t="s"/>
      <c r="T70" s="14" t="s"/>
      <c r="U70" s="14" t="s"/>
      <c r="AI70" s="14" t="s"/>
      <c r="AJ70" s="14" t="s"/>
      <c r="AK70" s="14" t="s"/>
      <c r="AL70" s="14" t="s"/>
      <c r="AM70" s="14" t="s"/>
      <c r="AN70" s="14" t="s"/>
      <c r="AO70" s="14" t="s"/>
      <c r="AP70" s="14" t="s"/>
      <c r="AQ70" s="14" t="s"/>
      <c r="AR70" s="14" t="s"/>
      <c r="AS70" s="14" t="s"/>
      <c r="AT70" s="14" t="s"/>
      <c r="AU70" s="14" t="s"/>
      <c r="AV70" s="14" t="s"/>
    </row>
    <row r="71" spans="1:48">
      <c r="A71" s="14" t="s"/>
      <c r="B71" s="14" t="s"/>
      <c r="C71" s="14" t="s"/>
      <c r="D71" s="14" t="s"/>
      <c r="E71" s="14" t="s"/>
      <c r="F71" s="14" t="s"/>
      <c r="G71" s="14" t="s"/>
      <c r="H71" s="14" t="s"/>
      <c r="I71" s="14" t="s"/>
      <c r="J71" s="14" t="s"/>
      <c r="K71" s="14" t="s"/>
      <c r="L71" s="14" t="s"/>
      <c r="M71" s="14" t="s"/>
      <c r="N71" s="14" t="s"/>
      <c r="O71" s="14" t="s"/>
      <c r="P71" s="14" t="s"/>
      <c r="Q71" s="14" t="s"/>
      <c r="R71" s="14" t="s"/>
      <c r="S71" s="14" t="s"/>
      <c r="T71" s="14" t="s"/>
      <c r="U71" s="14" t="s"/>
      <c r="AI71" s="14" t="s"/>
      <c r="AJ71" s="14" t="s"/>
      <c r="AK71" s="14" t="s"/>
      <c r="AL71" s="14" t="s"/>
      <c r="AM71" s="14" t="s"/>
      <c r="AN71" s="14" t="s"/>
      <c r="AO71" s="14" t="s"/>
      <c r="AP71" s="14" t="s"/>
      <c r="AQ71" s="14" t="s"/>
      <c r="AR71" s="14" t="s"/>
      <c r="AS71" s="14" t="s"/>
      <c r="AT71" s="14" t="s"/>
      <c r="AU71" s="14" t="s"/>
      <c r="AV71" s="14" t="s"/>
    </row>
    <row r="72" spans="1:48">
      <c r="A72" s="14" t="s"/>
      <c r="B72" s="14" t="s"/>
      <c r="C72" s="14" t="s"/>
      <c r="D72" s="14" t="s"/>
      <c r="E72" s="14" t="s"/>
      <c r="F72" s="14" t="s"/>
      <c r="G72" s="14" t="s"/>
      <c r="H72" s="14" t="s"/>
      <c r="I72" s="14" t="s"/>
      <c r="J72" s="14" t="s"/>
      <c r="K72" s="14" t="s"/>
      <c r="L72" s="14" t="s"/>
      <c r="M72" s="14" t="s"/>
      <c r="N72" s="14" t="s"/>
      <c r="O72" s="14" t="s"/>
      <c r="P72" s="14" t="s"/>
      <c r="Q72" s="14" t="s"/>
      <c r="R72" s="14" t="s"/>
      <c r="S72" s="14" t="s"/>
      <c r="T72" s="14" t="s"/>
      <c r="U72" s="14" t="s"/>
      <c r="AI72" s="14" t="s"/>
      <c r="AJ72" s="14" t="s"/>
      <c r="AK72" s="14" t="s"/>
      <c r="AL72" s="14" t="s"/>
      <c r="AM72" s="14" t="s"/>
      <c r="AN72" s="14" t="s"/>
      <c r="AO72" s="14" t="s"/>
      <c r="AP72" s="14" t="s"/>
      <c r="AQ72" s="14" t="s"/>
      <c r="AR72" s="14" t="s"/>
      <c r="AS72" s="14" t="s"/>
      <c r="AT72" s="14" t="s"/>
      <c r="AU72" s="14" t="s"/>
      <c r="AV72" s="14" t="s"/>
    </row>
    <row r="73" spans="1:48">
      <c r="A73" s="14" t="s"/>
      <c r="B73" s="14" t="s"/>
      <c r="C73" s="14" t="s"/>
      <c r="D73" s="14" t="s"/>
      <c r="E73" s="14" t="s"/>
      <c r="F73" s="14" t="s"/>
      <c r="G73" s="14" t="s"/>
      <c r="H73" s="14" t="s"/>
      <c r="I73" s="14" t="s"/>
      <c r="J73" s="14" t="s"/>
      <c r="K73" s="14" t="s"/>
      <c r="L73" s="14" t="s"/>
      <c r="M73" s="14" t="s"/>
      <c r="N73" s="14" t="s"/>
      <c r="O73" s="14" t="s"/>
      <c r="P73" s="14" t="s"/>
      <c r="Q73" s="14" t="s"/>
      <c r="R73" s="14" t="s"/>
      <c r="S73" s="14" t="s"/>
      <c r="T73" s="14" t="s"/>
      <c r="U73" s="14" t="s"/>
      <c r="AI73" s="14" t="s"/>
      <c r="AJ73" s="14" t="s"/>
      <c r="AK73" s="14" t="s"/>
      <c r="AL73" s="14" t="s"/>
      <c r="AM73" s="14" t="s"/>
      <c r="AN73" s="14" t="s"/>
      <c r="AO73" s="14" t="s"/>
      <c r="AP73" s="14" t="s"/>
      <c r="AQ73" s="14" t="s"/>
      <c r="AR73" s="14" t="s"/>
      <c r="AS73" s="14" t="s"/>
      <c r="AT73" s="14" t="s"/>
      <c r="AU73" s="14" t="s"/>
      <c r="AV73" s="14" t="s"/>
    </row>
    <row r="74" spans="1:48">
      <c r="A74" s="14" t="s"/>
      <c r="B74" s="14" t="s"/>
      <c r="C74" s="14" t="s"/>
      <c r="D74" s="14" t="s"/>
      <c r="E74" s="14" t="s"/>
      <c r="F74" s="14" t="s"/>
      <c r="G74" s="14" t="s"/>
      <c r="H74" s="14" t="s"/>
      <c r="I74" s="14" t="s"/>
      <c r="J74" s="14" t="s"/>
      <c r="K74" s="14" t="s"/>
      <c r="L74" s="14" t="s"/>
      <c r="M74" s="14" t="s"/>
      <c r="N74" s="14" t="s"/>
      <c r="O74" s="14" t="s"/>
      <c r="P74" s="14" t="s"/>
      <c r="Q74" s="14" t="s"/>
      <c r="R74" s="14" t="s"/>
      <c r="S74" s="14" t="s"/>
      <c r="T74" s="14" t="s"/>
      <c r="U74" s="14" t="s"/>
      <c r="AI74" s="14" t="s"/>
      <c r="AJ74" s="14" t="s"/>
      <c r="AK74" s="14" t="s"/>
      <c r="AL74" s="14" t="s"/>
      <c r="AM74" s="14" t="s"/>
      <c r="AN74" s="14" t="s"/>
      <c r="AO74" s="14" t="s"/>
      <c r="AP74" s="14" t="s"/>
      <c r="AQ74" s="14" t="s"/>
      <c r="AR74" s="14" t="s"/>
      <c r="AS74" s="14" t="s"/>
      <c r="AT74" s="14" t="s"/>
      <c r="AU74" s="14" t="s"/>
      <c r="AV74" s="14" t="s"/>
    </row>
    <row r="75" spans="1:48">
      <c r="A75" s="14" t="s"/>
      <c r="B75" s="14" t="s"/>
      <c r="C75" s="14" t="s"/>
      <c r="D75" s="14" t="s"/>
      <c r="E75" s="14" t="s"/>
      <c r="F75" s="14" t="s"/>
      <c r="G75" s="14" t="s"/>
      <c r="H75" s="14" t="s"/>
      <c r="I75" s="14" t="s"/>
      <c r="J75" s="14" t="s"/>
      <c r="K75" s="14" t="s"/>
      <c r="L75" s="14" t="s"/>
      <c r="M75" s="14" t="s"/>
      <c r="N75" s="14" t="s"/>
      <c r="O75" s="14" t="s"/>
      <c r="P75" s="14" t="s"/>
      <c r="Q75" s="14" t="s"/>
      <c r="R75" s="14" t="s"/>
      <c r="S75" s="14" t="s"/>
      <c r="T75" s="14" t="s"/>
      <c r="U75" s="14" t="s"/>
      <c r="AI75" s="14" t="s"/>
      <c r="AJ75" s="14" t="s"/>
      <c r="AK75" s="14" t="s"/>
      <c r="AL75" s="14" t="s"/>
      <c r="AM75" s="14" t="s"/>
      <c r="AN75" s="14" t="s"/>
      <c r="AO75" s="14" t="s"/>
      <c r="AP75" s="14" t="s"/>
      <c r="AQ75" s="14" t="s"/>
      <c r="AR75" s="14" t="s"/>
      <c r="AS75" s="14" t="s"/>
      <c r="AT75" s="14" t="s"/>
      <c r="AU75" s="14" t="s"/>
      <c r="AV75" s="14" t="s"/>
    </row>
    <row r="76" spans="1:48">
      <c r="A76" s="14" t="s"/>
      <c r="B76" s="14" t="s"/>
      <c r="C76" s="14" t="s"/>
      <c r="D76" s="14" t="s"/>
      <c r="E76" s="14" t="s"/>
      <c r="F76" s="14" t="s"/>
      <c r="G76" s="14" t="s"/>
      <c r="H76" s="14" t="s"/>
      <c r="I76" s="14" t="s"/>
      <c r="J76" s="14" t="s"/>
      <c r="K76" s="14" t="s"/>
      <c r="L76" s="14" t="s"/>
      <c r="M76" s="14" t="s"/>
      <c r="N76" s="14" t="s"/>
      <c r="O76" s="14" t="s"/>
      <c r="P76" s="14" t="s"/>
      <c r="Q76" s="14" t="s"/>
      <c r="R76" s="14" t="s"/>
      <c r="S76" s="14" t="s"/>
      <c r="T76" s="14" t="s"/>
      <c r="U76" s="14" t="s"/>
      <c r="AI76" s="14" t="s"/>
      <c r="AJ76" s="14" t="s"/>
      <c r="AK76" s="14" t="s"/>
      <c r="AL76" s="14" t="s"/>
      <c r="AM76" s="14" t="s"/>
      <c r="AN76" s="14" t="s"/>
      <c r="AO76" s="14" t="s"/>
      <c r="AP76" s="14" t="s"/>
      <c r="AQ76" s="14" t="s"/>
      <c r="AR76" s="14" t="s"/>
      <c r="AS76" s="14" t="s"/>
      <c r="AT76" s="14" t="s"/>
      <c r="AU76" s="14" t="s"/>
      <c r="AV76" s="14" t="s"/>
    </row>
    <row r="77" spans="1:48">
      <c r="A77" s="14" t="s"/>
      <c r="B77" s="14" t="s"/>
      <c r="C77" s="14" t="s"/>
      <c r="D77" s="14" t="s"/>
      <c r="E77" s="14" t="s"/>
      <c r="F77" s="14" t="s"/>
      <c r="G77" s="14" t="s"/>
      <c r="H77" s="14" t="s"/>
      <c r="I77" s="14" t="s"/>
      <c r="J77" s="14" t="s"/>
      <c r="K77" s="14" t="s"/>
      <c r="L77" s="14" t="s"/>
      <c r="M77" s="14" t="s"/>
      <c r="N77" s="14" t="s"/>
      <c r="O77" s="14" t="s"/>
      <c r="P77" s="14" t="s"/>
      <c r="Q77" s="14" t="s"/>
      <c r="R77" s="14" t="s"/>
      <c r="S77" s="14" t="s"/>
      <c r="T77" s="14" t="s"/>
      <c r="U77" s="14" t="s"/>
      <c r="AI77" s="14" t="s"/>
      <c r="AJ77" s="14" t="s"/>
      <c r="AK77" s="14" t="s"/>
      <c r="AL77" s="14" t="s"/>
      <c r="AM77" s="14" t="s"/>
      <c r="AN77" s="14" t="s"/>
      <c r="AO77" s="14" t="s"/>
      <c r="AP77" s="14" t="s"/>
      <c r="AQ77" s="14" t="s"/>
      <c r="AR77" s="14" t="s"/>
      <c r="AS77" s="14" t="s"/>
      <c r="AT77" s="14" t="s"/>
      <c r="AU77" s="14" t="s"/>
      <c r="AV77" s="14" t="s"/>
    </row>
    <row r="78" spans="1:48">
      <c r="A78" s="14" t="s"/>
      <c r="B78" s="14" t="s"/>
      <c r="C78" s="14" t="s"/>
      <c r="D78" s="14" t="s"/>
      <c r="E78" s="14" t="s"/>
      <c r="F78" s="14" t="s"/>
      <c r="G78" s="14" t="s"/>
      <c r="H78" s="14" t="s"/>
      <c r="I78" s="14" t="s"/>
      <c r="J78" s="14" t="s"/>
      <c r="K78" s="14" t="s"/>
      <c r="L78" s="14" t="s"/>
      <c r="M78" s="14" t="s"/>
      <c r="N78" s="14" t="s"/>
      <c r="O78" s="14" t="s"/>
      <c r="P78" s="14" t="s"/>
      <c r="Q78" s="14" t="s"/>
      <c r="R78" s="14" t="s"/>
      <c r="S78" s="14" t="s"/>
      <c r="T78" s="14" t="s"/>
      <c r="U78" s="14" t="s"/>
      <c r="AI78" s="14" t="s"/>
      <c r="AJ78" s="14" t="s"/>
      <c r="AK78" s="14" t="s"/>
      <c r="AL78" s="14" t="s"/>
      <c r="AM78" s="14" t="s"/>
      <c r="AN78" s="14" t="s"/>
      <c r="AO78" s="14" t="s"/>
      <c r="AP78" s="14" t="s"/>
      <c r="AQ78" s="14" t="s"/>
      <c r="AR78" s="14" t="s"/>
      <c r="AS78" s="14" t="s"/>
      <c r="AT78" s="14" t="s"/>
      <c r="AU78" s="14" t="s"/>
      <c r="AV78" s="14" t="s"/>
    </row>
    <row r="79" spans="1:48">
      <c r="A79" s="14" t="s"/>
      <c r="B79" s="14" t="s"/>
      <c r="C79" s="14" t="s"/>
      <c r="D79" s="14" t="s"/>
      <c r="E79" s="14" t="s"/>
      <c r="F79" s="14" t="s"/>
      <c r="G79" s="14" t="s"/>
      <c r="H79" s="14" t="s"/>
      <c r="I79" s="14" t="s"/>
      <c r="J79" s="14" t="s"/>
      <c r="K79" s="14" t="s"/>
      <c r="L79" s="14" t="s"/>
      <c r="M79" s="14" t="s"/>
      <c r="N79" s="14" t="s"/>
      <c r="O79" s="14" t="s"/>
      <c r="P79" s="14" t="s"/>
      <c r="Q79" s="14" t="s"/>
      <c r="R79" s="14" t="s"/>
      <c r="S79" s="14" t="s"/>
      <c r="T79" s="14" t="s"/>
      <c r="U79" s="14" t="s"/>
      <c r="AI79" s="14" t="s"/>
      <c r="AJ79" s="14" t="s"/>
      <c r="AK79" s="14" t="s"/>
      <c r="AL79" s="14" t="s"/>
      <c r="AM79" s="14" t="s"/>
      <c r="AN79" s="14" t="s"/>
      <c r="AO79" s="14" t="s"/>
      <c r="AP79" s="14" t="s"/>
      <c r="AQ79" s="14" t="s"/>
      <c r="AR79" s="14" t="s"/>
      <c r="AS79" s="14" t="s"/>
      <c r="AT79" s="14" t="s"/>
      <c r="AU79" s="14" t="s"/>
      <c r="AV79" s="14" t="s"/>
    </row>
    <row r="80" spans="1:48">
      <c r="A80" s="14" t="s"/>
      <c r="B80" s="14" t="s"/>
      <c r="C80" s="14" t="s"/>
      <c r="D80" s="14" t="s"/>
      <c r="E80" s="14" t="s"/>
      <c r="F80" s="14" t="s"/>
      <c r="G80" s="14" t="s"/>
      <c r="H80" s="14" t="s"/>
      <c r="I80" s="14" t="s"/>
      <c r="J80" s="14" t="s"/>
      <c r="K80" s="14" t="s"/>
      <c r="L80" s="14" t="s"/>
      <c r="M80" s="14" t="s"/>
      <c r="N80" s="14" t="s"/>
      <c r="O80" s="14" t="s"/>
      <c r="P80" s="14" t="s"/>
      <c r="Q80" s="14" t="s"/>
      <c r="R80" s="14" t="s"/>
      <c r="S80" s="14" t="s"/>
      <c r="T80" s="14" t="s"/>
      <c r="U80" s="14" t="s"/>
      <c r="AI80" s="14" t="s"/>
      <c r="AJ80" s="14" t="s"/>
      <c r="AK80" s="14" t="s"/>
      <c r="AL80" s="14" t="s"/>
      <c r="AM80" s="14" t="s"/>
      <c r="AN80" s="14" t="s"/>
      <c r="AO80" s="14" t="s"/>
      <c r="AP80" s="14" t="s"/>
      <c r="AQ80" s="14" t="s"/>
      <c r="AR80" s="14" t="s"/>
      <c r="AS80" s="14" t="s"/>
      <c r="AT80" s="14" t="s"/>
      <c r="AU80" s="14" t="s"/>
      <c r="AV80" s="14" t="s"/>
    </row>
    <row r="81" spans="1:48">
      <c r="A81" s="14" t="s"/>
      <c r="B81" s="14" t="s"/>
      <c r="C81" s="14" t="s"/>
      <c r="D81" s="14" t="s"/>
      <c r="E81" s="14" t="s"/>
      <c r="F81" s="14" t="s"/>
      <c r="G81" s="14" t="s"/>
      <c r="H81" s="14" t="s"/>
      <c r="I81" s="14" t="s"/>
      <c r="J81" s="14" t="s"/>
      <c r="K81" s="14" t="s"/>
      <c r="L81" s="14" t="s"/>
      <c r="M81" s="14" t="s"/>
      <c r="N81" s="14" t="s"/>
      <c r="O81" s="14" t="s"/>
      <c r="P81" s="14" t="s"/>
      <c r="Q81" s="14" t="s"/>
      <c r="R81" s="14" t="s"/>
      <c r="S81" s="14" t="s"/>
      <c r="T81" s="14" t="s"/>
      <c r="U81" s="14" t="s"/>
      <c r="AI81" s="14" t="s"/>
      <c r="AJ81" s="14" t="s"/>
      <c r="AK81" s="14" t="s"/>
      <c r="AL81" s="14" t="s"/>
      <c r="AM81" s="14" t="s"/>
      <c r="AN81" s="14" t="s"/>
      <c r="AO81" s="14" t="s"/>
      <c r="AP81" s="14" t="s"/>
      <c r="AQ81" s="14" t="s"/>
      <c r="AR81" s="14" t="s"/>
      <c r="AS81" s="14" t="s"/>
      <c r="AT81" s="14" t="s"/>
      <c r="AU81" s="14" t="s"/>
      <c r="AV81" s="14" t="s"/>
    </row>
    <row r="82" spans="1:48">
      <c r="A82" s="14" t="s"/>
      <c r="B82" s="14" t="s"/>
      <c r="C82" s="14" t="s"/>
      <c r="D82" s="14" t="s"/>
      <c r="E82" s="14" t="s"/>
      <c r="F82" s="14" t="s"/>
      <c r="G82" s="14" t="s"/>
      <c r="H82" s="14" t="s"/>
      <c r="I82" s="14" t="s"/>
      <c r="J82" s="14" t="s"/>
      <c r="K82" s="14" t="s"/>
      <c r="L82" s="14" t="s"/>
      <c r="M82" s="14" t="s"/>
      <c r="N82" s="14" t="s"/>
      <c r="O82" s="14" t="s"/>
      <c r="P82" s="14" t="s"/>
      <c r="Q82" s="14" t="s"/>
      <c r="R82" s="14" t="s"/>
      <c r="S82" s="14" t="s"/>
      <c r="T82" s="14" t="s"/>
      <c r="U82" s="14" t="s"/>
      <c r="AI82" s="14" t="s"/>
      <c r="AJ82" s="14" t="s"/>
      <c r="AK82" s="14" t="s"/>
      <c r="AL82" s="14" t="s"/>
      <c r="AM82" s="14" t="s"/>
      <c r="AN82" s="14" t="s"/>
      <c r="AO82" s="14" t="s"/>
      <c r="AP82" s="14" t="s"/>
      <c r="AQ82" s="14" t="s"/>
      <c r="AR82" s="14" t="s"/>
      <c r="AS82" s="14" t="s"/>
      <c r="AT82" s="14" t="s"/>
      <c r="AU82" s="14" t="s"/>
      <c r="AV82" s="14" t="s"/>
    </row>
    <row r="83" spans="1:48">
      <c r="A83" s="14" t="s"/>
      <c r="B83" s="14" t="s"/>
      <c r="C83" s="14" t="s"/>
      <c r="D83" s="14" t="s"/>
      <c r="E83" s="14" t="s"/>
      <c r="F83" s="14" t="s"/>
      <c r="G83" s="14" t="s"/>
      <c r="H83" s="14" t="s"/>
      <c r="I83" s="14" t="s"/>
      <c r="J83" s="14" t="s"/>
      <c r="K83" s="14" t="s"/>
      <c r="L83" s="14" t="s"/>
      <c r="M83" s="14" t="s"/>
      <c r="N83" s="14" t="s"/>
      <c r="O83" s="14" t="s"/>
      <c r="P83" s="14" t="s"/>
      <c r="Q83" s="14" t="s"/>
      <c r="R83" s="14" t="s"/>
      <c r="S83" s="14" t="s"/>
      <c r="T83" s="14" t="s"/>
      <c r="U83" s="14" t="s"/>
      <c r="AI83" s="14" t="s"/>
      <c r="AJ83" s="14" t="s"/>
      <c r="AK83" s="14" t="s"/>
      <c r="AL83" s="14" t="s"/>
      <c r="AM83" s="14" t="s"/>
      <c r="AN83" s="14" t="s"/>
      <c r="AO83" s="14" t="s"/>
      <c r="AP83" s="14" t="s"/>
      <c r="AQ83" s="14" t="s"/>
      <c r="AR83" s="14" t="s"/>
      <c r="AS83" s="14" t="s"/>
      <c r="AT83" s="14" t="s"/>
      <c r="AU83" s="14" t="s"/>
      <c r="AV83" s="14" t="s"/>
    </row>
    <row r="84" spans="1:48">
      <c r="A84" s="14" t="s"/>
      <c r="B84" s="14" t="s"/>
      <c r="C84" s="14" t="s"/>
      <c r="D84" s="14" t="s"/>
      <c r="E84" s="14" t="s"/>
      <c r="F84" s="14" t="s"/>
      <c r="G84" s="14" t="s"/>
      <c r="H84" s="14" t="s"/>
      <c r="I84" s="14" t="s"/>
      <c r="J84" s="14" t="s"/>
      <c r="K84" s="14" t="s"/>
      <c r="L84" s="14" t="s"/>
      <c r="M84" s="14" t="s"/>
      <c r="N84" s="14" t="s"/>
      <c r="O84" s="14" t="s"/>
      <c r="P84" s="14" t="s"/>
      <c r="Q84" s="14" t="s"/>
      <c r="R84" s="14" t="s"/>
      <c r="S84" s="14" t="s"/>
      <c r="T84" s="14" t="s"/>
      <c r="U84" s="14" t="s"/>
      <c r="AI84" s="14" t="s"/>
      <c r="AJ84" s="14" t="s"/>
      <c r="AK84" s="14" t="s"/>
      <c r="AL84" s="14" t="s"/>
      <c r="AM84" s="14" t="s"/>
      <c r="AN84" s="14" t="s"/>
      <c r="AO84" s="14" t="s"/>
      <c r="AP84" s="14" t="s"/>
      <c r="AQ84" s="14" t="s"/>
      <c r="AR84" s="14" t="s"/>
      <c r="AS84" s="14" t="s"/>
      <c r="AT84" s="14" t="s"/>
      <c r="AU84" s="14" t="s"/>
      <c r="AV84" s="14" t="s"/>
    </row>
    <row r="85" spans="1:48">
      <c r="A85" s="14" t="s"/>
      <c r="B85" s="14" t="s"/>
      <c r="C85" s="14" t="s"/>
      <c r="D85" s="14" t="s"/>
      <c r="E85" s="14" t="s"/>
      <c r="F85" s="14" t="s"/>
      <c r="G85" s="14" t="s"/>
      <c r="H85" s="14" t="s"/>
      <c r="I85" s="14" t="s"/>
      <c r="J85" s="14" t="s"/>
      <c r="K85" s="14" t="s"/>
      <c r="L85" s="14" t="s"/>
      <c r="M85" s="14" t="s"/>
      <c r="N85" s="14" t="s"/>
      <c r="O85" s="14" t="s"/>
      <c r="P85" s="14" t="s"/>
      <c r="Q85" s="14" t="s"/>
      <c r="R85" s="14" t="s"/>
      <c r="S85" s="14" t="s"/>
      <c r="T85" s="14" t="s"/>
      <c r="U85" s="14" t="s"/>
      <c r="AI85" s="14" t="s"/>
      <c r="AJ85" s="14" t="s"/>
      <c r="AK85" s="14" t="s"/>
      <c r="AL85" s="14" t="s"/>
      <c r="AM85" s="14" t="s"/>
      <c r="AN85" s="14" t="s"/>
      <c r="AO85" s="14" t="s"/>
      <c r="AP85" s="14" t="s"/>
      <c r="AQ85" s="14" t="s"/>
      <c r="AR85" s="14" t="s"/>
      <c r="AS85" s="14" t="s"/>
      <c r="AT85" s="14" t="s"/>
      <c r="AU85" s="14" t="s"/>
      <c r="AV85" s="14" t="s"/>
    </row>
    <row r="86" spans="1:48">
      <c r="A86" s="14" t="s"/>
      <c r="B86" s="14" t="s"/>
      <c r="C86" s="14" t="s"/>
      <c r="D86" s="14" t="s"/>
      <c r="E86" s="14" t="s"/>
      <c r="F86" s="14" t="s"/>
      <c r="G86" s="14" t="s"/>
      <c r="H86" s="14" t="s"/>
      <c r="I86" s="14" t="s"/>
      <c r="J86" s="14" t="s"/>
      <c r="K86" s="14" t="s"/>
      <c r="L86" s="14" t="s"/>
      <c r="M86" s="14" t="s"/>
      <c r="N86" s="14" t="s"/>
      <c r="O86" s="14" t="s"/>
      <c r="P86" s="14" t="s"/>
      <c r="Q86" s="14" t="s"/>
      <c r="R86" s="14" t="s"/>
      <c r="S86" s="14" t="s"/>
      <c r="T86" s="14" t="s"/>
      <c r="U86" s="14" t="s"/>
      <c r="AI86" s="14" t="s"/>
      <c r="AJ86" s="14" t="s"/>
      <c r="AK86" s="14" t="s"/>
      <c r="AL86" s="14" t="s"/>
      <c r="AM86" s="14" t="s"/>
      <c r="AN86" s="14" t="s"/>
      <c r="AO86" s="14" t="s"/>
      <c r="AP86" s="14" t="s"/>
      <c r="AQ86" s="14" t="s"/>
      <c r="AR86" s="14" t="s"/>
      <c r="AS86" s="14" t="s"/>
      <c r="AT86" s="14" t="s"/>
      <c r="AU86" s="14" t="s"/>
      <c r="AV86" s="14" t="s"/>
    </row>
    <row r="87" spans="1:48">
      <c r="A87" s="14" t="s"/>
      <c r="B87" s="14" t="s"/>
      <c r="C87" s="14" t="s"/>
      <c r="D87" s="14" t="s"/>
      <c r="E87" s="14" t="s"/>
      <c r="F87" s="14" t="s"/>
      <c r="G87" s="14" t="s"/>
      <c r="H87" s="14" t="s"/>
      <c r="I87" s="14" t="s"/>
      <c r="J87" s="14" t="s"/>
      <c r="K87" s="14" t="s"/>
      <c r="L87" s="14" t="s"/>
      <c r="M87" s="14" t="s"/>
      <c r="N87" s="14" t="s"/>
      <c r="O87" s="14" t="s"/>
      <c r="P87" s="14" t="s"/>
      <c r="Q87" s="14" t="s"/>
      <c r="R87" s="14" t="s"/>
      <c r="S87" s="14" t="s"/>
      <c r="T87" s="14" t="s"/>
      <c r="U87" s="14" t="s"/>
      <c r="AI87" s="14" t="s"/>
      <c r="AJ87" s="14" t="s"/>
      <c r="AK87" s="14" t="s"/>
      <c r="AL87" s="14" t="s"/>
      <c r="AM87" s="14" t="s"/>
      <c r="AN87" s="14" t="s"/>
      <c r="AO87" s="14" t="s"/>
      <c r="AP87" s="14" t="s"/>
      <c r="AQ87" s="14" t="s"/>
      <c r="AR87" s="14" t="s"/>
      <c r="AS87" s="14" t="s"/>
      <c r="AT87" s="14" t="s"/>
      <c r="AU87" s="14" t="s"/>
      <c r="AV87" s="14" t="s"/>
    </row>
    <row r="88" spans="1:48">
      <c r="A88" s="14" t="s"/>
      <c r="B88" s="14" t="s"/>
      <c r="C88" s="14" t="s"/>
      <c r="D88" s="14" t="s"/>
      <c r="E88" s="14" t="s"/>
      <c r="F88" s="14" t="s"/>
      <c r="G88" s="14" t="s"/>
      <c r="H88" s="14" t="s"/>
      <c r="I88" s="14" t="s"/>
      <c r="J88" s="14" t="s"/>
      <c r="K88" s="14" t="s"/>
      <c r="L88" s="14" t="s"/>
      <c r="M88" s="14" t="s"/>
      <c r="N88" s="14" t="s"/>
      <c r="O88" s="14" t="s"/>
      <c r="P88" s="14" t="s"/>
      <c r="Q88" s="14" t="s"/>
      <c r="R88" s="14" t="s"/>
      <c r="S88" s="14" t="s"/>
      <c r="T88" s="14" t="s"/>
      <c r="U88" s="14" t="s"/>
      <c r="AI88" s="14" t="s"/>
      <c r="AJ88" s="14" t="s"/>
      <c r="AK88" s="14" t="s"/>
      <c r="AL88" s="14" t="s"/>
      <c r="AM88" s="14" t="s"/>
      <c r="AN88" s="14" t="s"/>
      <c r="AO88" s="14" t="s"/>
      <c r="AP88" s="14" t="s"/>
      <c r="AQ88" s="14" t="s"/>
      <c r="AR88" s="14" t="s"/>
      <c r="AS88" s="14" t="s"/>
      <c r="AT88" s="14" t="s"/>
      <c r="AU88" s="14" t="s"/>
      <c r="AV88" s="14" t="s"/>
    </row>
    <row r="89" spans="1:48">
      <c r="A89" s="14" t="s"/>
      <c r="B89" s="14" t="s"/>
      <c r="C89" s="14" t="s"/>
      <c r="D89" s="14" t="s"/>
      <c r="E89" s="14" t="s"/>
      <c r="F89" s="14" t="s"/>
      <c r="G89" s="14" t="s"/>
      <c r="H89" s="14" t="s"/>
      <c r="I89" s="14" t="s"/>
      <c r="J89" s="14" t="s"/>
      <c r="K89" s="14" t="s"/>
      <c r="L89" s="14" t="s"/>
      <c r="M89" s="14" t="s"/>
      <c r="N89" s="14" t="s"/>
      <c r="O89" s="14" t="s"/>
      <c r="P89" s="14" t="s"/>
      <c r="Q89" s="14" t="s"/>
      <c r="R89" s="14" t="s"/>
      <c r="S89" s="14" t="s"/>
      <c r="T89" s="14" t="s"/>
      <c r="U89" s="14" t="s"/>
      <c r="AI89" s="14" t="s"/>
      <c r="AJ89" s="14" t="s"/>
      <c r="AK89" s="14" t="s"/>
      <c r="AL89" s="14" t="s"/>
      <c r="AM89" s="14" t="s"/>
      <c r="AN89" s="14" t="s"/>
      <c r="AO89" s="14" t="s"/>
      <c r="AP89" s="14" t="s"/>
      <c r="AQ89" s="14" t="s"/>
      <c r="AR89" s="14" t="s"/>
      <c r="AS89" s="14" t="s"/>
      <c r="AT89" s="14" t="s"/>
      <c r="AU89" s="14" t="s"/>
      <c r="AV89" s="14" t="s"/>
    </row>
    <row r="90" spans="1:48">
      <c r="A90" s="14" t="s"/>
      <c r="B90" s="14" t="s"/>
      <c r="C90" s="14" t="s"/>
      <c r="D90" s="14" t="s"/>
      <c r="E90" s="14" t="s"/>
      <c r="F90" s="14" t="s"/>
      <c r="G90" s="14" t="s"/>
      <c r="H90" s="14" t="s"/>
      <c r="I90" s="14" t="s"/>
      <c r="J90" s="14" t="s"/>
      <c r="K90" s="14" t="s"/>
      <c r="L90" s="14" t="s"/>
      <c r="M90" s="14" t="s"/>
      <c r="N90" s="14" t="s"/>
      <c r="O90" s="14" t="s"/>
      <c r="P90" s="14" t="s"/>
      <c r="Q90" s="14" t="s"/>
      <c r="R90" s="14" t="s"/>
      <c r="S90" s="14" t="s"/>
      <c r="T90" s="14" t="s"/>
      <c r="U90" s="14" t="s"/>
      <c r="AI90" s="14" t="s"/>
      <c r="AJ90" s="14" t="s"/>
      <c r="AK90" s="14" t="s"/>
      <c r="AL90" s="14" t="s"/>
      <c r="AM90" s="14" t="s"/>
      <c r="AN90" s="14" t="s"/>
      <c r="AO90" s="14" t="s"/>
      <c r="AP90" s="14" t="s"/>
      <c r="AQ90" s="14" t="s"/>
      <c r="AR90" s="14" t="s"/>
      <c r="AS90" s="14" t="s"/>
      <c r="AT90" s="14" t="s"/>
      <c r="AU90" s="14" t="s"/>
      <c r="AV90" s="14" t="s"/>
    </row>
    <row r="91" spans="1:48">
      <c r="A91" s="14" t="s"/>
      <c r="B91" s="14" t="s"/>
      <c r="C91" s="14" t="s"/>
      <c r="D91" s="14" t="s"/>
      <c r="E91" s="14" t="s"/>
      <c r="F91" s="14" t="s"/>
      <c r="G91" s="14" t="s"/>
      <c r="H91" s="14" t="s"/>
      <c r="I91" s="14" t="s"/>
      <c r="J91" s="14" t="s"/>
      <c r="K91" s="14" t="s"/>
      <c r="L91" s="14" t="s"/>
      <c r="M91" s="14" t="s"/>
      <c r="N91" s="14" t="s"/>
      <c r="O91" s="14" t="s"/>
      <c r="P91" s="14" t="s"/>
      <c r="Q91" s="14" t="s"/>
      <c r="R91" s="14" t="s"/>
      <c r="S91" s="14" t="s"/>
      <c r="T91" s="14" t="s"/>
      <c r="U91" s="14" t="s"/>
      <c r="AI91" s="14" t="s"/>
      <c r="AJ91" s="14" t="s"/>
      <c r="AK91" s="14" t="s"/>
      <c r="AL91" s="14" t="s"/>
      <c r="AM91" s="14" t="s"/>
      <c r="AN91" s="14" t="s"/>
      <c r="AO91" s="14" t="s"/>
      <c r="AP91" s="14" t="s"/>
      <c r="AQ91" s="14" t="s"/>
      <c r="AR91" s="14" t="s"/>
      <c r="AS91" s="14" t="s"/>
      <c r="AT91" s="14" t="s"/>
      <c r="AU91" s="14" t="s"/>
      <c r="AV91" s="14" t="s"/>
    </row>
    <row r="92" spans="1:48">
      <c r="A92" s="14" t="s"/>
      <c r="B92" s="14" t="s"/>
      <c r="C92" s="14" t="s"/>
      <c r="D92" s="14" t="s"/>
      <c r="E92" s="14" t="s"/>
      <c r="F92" s="14" t="s"/>
      <c r="G92" s="14" t="s"/>
      <c r="H92" s="14" t="s"/>
      <c r="I92" s="14" t="s"/>
      <c r="J92" s="14" t="s"/>
      <c r="K92" s="14" t="s"/>
      <c r="L92" s="14" t="s"/>
      <c r="M92" s="14" t="s"/>
      <c r="N92" s="14" t="s"/>
      <c r="O92" s="14" t="s"/>
      <c r="P92" s="14" t="s"/>
      <c r="Q92" s="14" t="s"/>
      <c r="R92" s="14" t="s"/>
      <c r="S92" s="14" t="s"/>
      <c r="T92" s="14" t="s"/>
      <c r="U92" s="14" t="s"/>
      <c r="AI92" s="14" t="s"/>
      <c r="AJ92" s="14" t="s"/>
      <c r="AK92" s="14" t="s"/>
      <c r="AL92" s="14" t="s"/>
      <c r="AM92" s="14" t="s"/>
      <c r="AN92" s="14" t="s"/>
      <c r="AO92" s="14" t="s"/>
      <c r="AP92" s="14" t="s"/>
      <c r="AQ92" s="14" t="s"/>
      <c r="AR92" s="14" t="s"/>
      <c r="AS92" s="14" t="s"/>
      <c r="AT92" s="14" t="s"/>
      <c r="AU92" s="14" t="s"/>
      <c r="AV92" s="14" t="s"/>
    </row>
    <row r="93" spans="1:48">
      <c r="A93" s="14" t="s"/>
      <c r="B93" s="14" t="s"/>
      <c r="C93" s="14" t="s"/>
      <c r="D93" s="14" t="s"/>
      <c r="E93" s="14" t="s"/>
      <c r="F93" s="14" t="s"/>
      <c r="G93" s="14" t="s"/>
      <c r="H93" s="14" t="s"/>
      <c r="I93" s="14" t="s"/>
      <c r="J93" s="14" t="s"/>
      <c r="K93" s="14" t="s"/>
      <c r="L93" s="14" t="s"/>
      <c r="M93" s="14" t="s"/>
      <c r="N93" s="14" t="s"/>
      <c r="O93" s="14" t="s"/>
      <c r="P93" s="14" t="s"/>
      <c r="Q93" s="14" t="s"/>
      <c r="R93" s="14" t="s"/>
      <c r="S93" s="14" t="s"/>
      <c r="T93" s="14" t="s"/>
      <c r="U93" s="14" t="s"/>
      <c r="AI93" s="14" t="s"/>
      <c r="AJ93" s="14" t="s"/>
      <c r="AK93" s="14" t="s"/>
      <c r="AL93" s="14" t="s"/>
      <c r="AM93" s="14" t="s"/>
      <c r="AN93" s="14" t="s"/>
      <c r="AO93" s="14" t="s"/>
      <c r="AP93" s="14" t="s"/>
      <c r="AQ93" s="14" t="s"/>
      <c r="AR93" s="14" t="s"/>
      <c r="AS93" s="14" t="s"/>
      <c r="AT93" s="14" t="s"/>
      <c r="AU93" s="14" t="s"/>
      <c r="AV93" s="14" t="s"/>
    </row>
    <row r="94" spans="1:48">
      <c r="A94" s="14" t="s"/>
      <c r="B94" s="14" t="s"/>
      <c r="C94" s="14" t="s"/>
      <c r="D94" s="14" t="s"/>
      <c r="E94" s="14" t="s"/>
      <c r="F94" s="14" t="s"/>
      <c r="G94" s="14" t="s"/>
      <c r="H94" s="14" t="s"/>
      <c r="I94" s="14" t="s"/>
      <c r="J94" s="14" t="s"/>
      <c r="K94" s="14" t="s"/>
      <c r="L94" s="14" t="s"/>
      <c r="M94" s="14" t="s"/>
      <c r="N94" s="14" t="s"/>
      <c r="O94" s="14" t="s"/>
      <c r="P94" s="14" t="s"/>
      <c r="Q94" s="14" t="s"/>
      <c r="R94" s="14" t="s"/>
      <c r="S94" s="14" t="s"/>
      <c r="T94" s="14" t="s"/>
      <c r="U94" s="14" t="s"/>
      <c r="AI94" s="14" t="s"/>
      <c r="AJ94" s="14" t="s"/>
      <c r="AK94" s="14" t="s"/>
      <c r="AL94" s="14" t="s"/>
      <c r="AM94" s="14" t="s"/>
      <c r="AN94" s="14" t="s"/>
      <c r="AO94" s="14" t="s"/>
      <c r="AP94" s="14" t="s"/>
      <c r="AQ94" s="14" t="s"/>
      <c r="AR94" s="14" t="s"/>
      <c r="AS94" s="14" t="s"/>
      <c r="AT94" s="14" t="s"/>
      <c r="AU94" s="14" t="s"/>
      <c r="AV94" s="14" t="s"/>
    </row>
    <row r="95" spans="1:48">
      <c r="A95" s="14" t="s"/>
      <c r="B95" s="14" t="s"/>
      <c r="C95" s="14" t="s"/>
      <c r="D95" s="14" t="s"/>
      <c r="E95" s="14" t="s"/>
      <c r="F95" s="14" t="s"/>
      <c r="G95" s="14" t="s"/>
      <c r="H95" s="14" t="s"/>
      <c r="I95" s="14" t="s"/>
      <c r="J95" s="14" t="s"/>
      <c r="K95" s="14" t="s"/>
      <c r="L95" s="14" t="s"/>
      <c r="M95" s="14" t="s"/>
      <c r="N95" s="14" t="s"/>
      <c r="O95" s="14" t="s"/>
      <c r="P95" s="14" t="s"/>
      <c r="Q95" s="14" t="s"/>
      <c r="R95" s="14" t="s"/>
      <c r="S95" s="14" t="s"/>
      <c r="T95" s="14" t="s"/>
      <c r="U95" s="14" t="s"/>
      <c r="AI95" s="14" t="s"/>
      <c r="AJ95" s="14" t="s"/>
      <c r="AK95" s="14" t="s"/>
      <c r="AL95" s="14" t="s"/>
      <c r="AM95" s="14" t="s"/>
      <c r="AN95" s="14" t="s"/>
      <c r="AO95" s="14" t="s"/>
      <c r="AP95" s="14" t="s"/>
      <c r="AQ95" s="14" t="s"/>
      <c r="AR95" s="14" t="s"/>
      <c r="AS95" s="14" t="s"/>
      <c r="AT95" s="14" t="s"/>
      <c r="AU95" s="14" t="s"/>
      <c r="AV95" s="14" t="s"/>
    </row>
    <row r="96" spans="1:48">
      <c r="A96" s="14" t="s"/>
      <c r="B96" s="14" t="s"/>
      <c r="C96" s="14" t="s"/>
      <c r="D96" s="14" t="s"/>
      <c r="E96" s="14" t="s"/>
      <c r="F96" s="14" t="s"/>
      <c r="G96" s="14" t="s"/>
      <c r="H96" s="14" t="s"/>
      <c r="I96" s="14" t="s"/>
      <c r="J96" s="14" t="s"/>
      <c r="K96" s="14" t="s"/>
      <c r="L96" s="14" t="s"/>
      <c r="M96" s="14" t="s"/>
      <c r="N96" s="14" t="s"/>
      <c r="O96" s="14" t="s"/>
      <c r="P96" s="14" t="s"/>
      <c r="Q96" s="14" t="s"/>
      <c r="R96" s="14" t="s"/>
      <c r="S96" s="14" t="s"/>
      <c r="T96" s="14" t="s"/>
      <c r="U96" s="14" t="s"/>
      <c r="AI96" s="14" t="s"/>
      <c r="AJ96" s="14" t="s"/>
      <c r="AK96" s="14" t="s"/>
      <c r="AL96" s="14" t="s"/>
      <c r="AM96" s="14" t="s"/>
      <c r="AN96" s="14" t="s"/>
      <c r="AO96" s="14" t="s"/>
      <c r="AP96" s="14" t="s"/>
      <c r="AQ96" s="14" t="s"/>
      <c r="AR96" s="14" t="s"/>
      <c r="AS96" s="14" t="s"/>
      <c r="AT96" s="14" t="s"/>
      <c r="AU96" s="14" t="s"/>
      <c r="AV96" s="14" t="s"/>
    </row>
    <row r="97" spans="1:48">
      <c r="A97" s="14" t="s"/>
      <c r="B97" s="14" t="s"/>
      <c r="C97" s="14" t="s"/>
      <c r="D97" s="14" t="s"/>
      <c r="E97" s="14" t="s"/>
      <c r="F97" s="14" t="s"/>
      <c r="G97" s="14" t="s"/>
      <c r="H97" s="14" t="s"/>
      <c r="I97" s="14" t="s"/>
      <c r="J97" s="14" t="s"/>
      <c r="K97" s="14" t="s"/>
      <c r="L97" s="14" t="s"/>
      <c r="M97" s="14" t="s"/>
      <c r="N97" s="14" t="s"/>
      <c r="O97" s="14" t="s"/>
      <c r="P97" s="14" t="s"/>
      <c r="Q97" s="14" t="s"/>
      <c r="R97" s="14" t="s"/>
      <c r="S97" s="14" t="s"/>
      <c r="T97" s="14" t="s"/>
      <c r="U97" s="14" t="s"/>
      <c r="AI97" s="14" t="s"/>
      <c r="AJ97" s="14" t="s"/>
      <c r="AK97" s="14" t="s"/>
      <c r="AL97" s="14" t="s"/>
      <c r="AM97" s="14" t="s"/>
      <c r="AN97" s="14" t="s"/>
      <c r="AO97" s="14" t="s"/>
      <c r="AP97" s="14" t="s"/>
      <c r="AQ97" s="14" t="s"/>
      <c r="AR97" s="14" t="s"/>
      <c r="AS97" s="14" t="s"/>
      <c r="AT97" s="14" t="s"/>
      <c r="AU97" s="14" t="s"/>
      <c r="AV97" s="14" t="s"/>
    </row>
    <row r="98" spans="1:48">
      <c r="A98" s="14" t="s"/>
      <c r="B98" s="14" t="s"/>
      <c r="C98" s="14" t="s"/>
      <c r="D98" s="14" t="s"/>
      <c r="E98" s="14" t="s"/>
      <c r="F98" s="14" t="s"/>
      <c r="G98" s="14" t="s"/>
      <c r="H98" s="14" t="s"/>
      <c r="I98" s="14" t="s"/>
      <c r="J98" s="14" t="s"/>
      <c r="K98" s="14" t="s"/>
      <c r="L98" s="14" t="s"/>
      <c r="M98" s="14" t="s"/>
      <c r="N98" s="14" t="s"/>
      <c r="O98" s="14" t="s"/>
      <c r="P98" s="14" t="s"/>
      <c r="Q98" s="14" t="s"/>
      <c r="R98" s="14" t="s"/>
      <c r="S98" s="14" t="s"/>
      <c r="T98" s="14" t="s"/>
      <c r="U98" s="14" t="s"/>
      <c r="AI98" s="14" t="s"/>
      <c r="AJ98" s="14" t="s"/>
      <c r="AK98" s="14" t="s"/>
      <c r="AL98" s="14" t="s"/>
      <c r="AM98" s="14" t="s"/>
      <c r="AN98" s="14" t="s"/>
      <c r="AO98" s="14" t="s"/>
      <c r="AP98" s="14" t="s"/>
      <c r="AQ98" s="14" t="s"/>
      <c r="AR98" s="14" t="s"/>
      <c r="AS98" s="14" t="s"/>
      <c r="AT98" s="14" t="s"/>
      <c r="AU98" s="14" t="s"/>
      <c r="AV98" s="14" t="s"/>
    </row>
    <row r="99" spans="1:48">
      <c r="A99" s="14" t="s"/>
      <c r="B99" s="14" t="s"/>
      <c r="C99" s="14" t="s"/>
      <c r="D99" s="14" t="s"/>
      <c r="E99" s="14" t="s"/>
      <c r="F99" s="14" t="s"/>
      <c r="G99" s="14" t="s"/>
      <c r="H99" s="14" t="s"/>
      <c r="I99" s="14" t="s"/>
      <c r="J99" s="14" t="s"/>
      <c r="K99" s="14" t="s"/>
      <c r="L99" s="14" t="s"/>
      <c r="M99" s="14" t="s"/>
      <c r="N99" s="14" t="s"/>
      <c r="O99" s="14" t="s"/>
      <c r="P99" s="14" t="s"/>
      <c r="Q99" s="14" t="s"/>
      <c r="R99" s="14" t="s"/>
      <c r="S99" s="14" t="s"/>
      <c r="T99" s="14" t="s"/>
      <c r="U99" s="14" t="s"/>
      <c r="AI99" s="14" t="s"/>
      <c r="AJ99" s="14" t="s"/>
      <c r="AK99" s="14" t="s"/>
      <c r="AL99" s="14" t="s"/>
      <c r="AM99" s="14" t="s"/>
      <c r="AN99" s="14" t="s"/>
      <c r="AO99" s="14" t="s"/>
      <c r="AP99" s="14" t="s"/>
      <c r="AQ99" s="14" t="s"/>
      <c r="AR99" s="14" t="s"/>
      <c r="AS99" s="14" t="s"/>
      <c r="AT99" s="14" t="s"/>
      <c r="AU99" s="14" t="s"/>
      <c r="AV99" s="14" t="s"/>
    </row>
    <row r="100" spans="1:48">
      <c r="A100" s="14" t="s"/>
      <c r="B100" s="14" t="s"/>
      <c r="C100" s="14" t="s"/>
      <c r="D100" s="14" t="s"/>
      <c r="E100" s="14" t="s"/>
      <c r="F100" s="14" t="s"/>
      <c r="G100" s="14" t="s"/>
      <c r="H100" s="14" t="s"/>
      <c r="I100" s="14" t="s"/>
      <c r="J100" s="14" t="s"/>
      <c r="K100" s="14" t="s"/>
      <c r="L100" s="14" t="s"/>
      <c r="M100" s="14" t="s"/>
      <c r="N100" s="14" t="s"/>
      <c r="O100" s="14" t="s"/>
      <c r="P100" s="14" t="s"/>
      <c r="Q100" s="14" t="s"/>
      <c r="R100" s="14" t="s"/>
      <c r="S100" s="14" t="s"/>
      <c r="T100" s="14" t="s"/>
      <c r="U100" s="14" t="s"/>
      <c r="AI100" s="14" t="s"/>
      <c r="AJ100" s="14" t="s"/>
      <c r="AK100" s="14" t="s"/>
      <c r="AL100" s="14" t="s"/>
      <c r="AM100" s="14" t="s"/>
      <c r="AN100" s="14" t="s"/>
      <c r="AO100" s="14" t="s"/>
      <c r="AP100" s="14" t="s"/>
      <c r="AQ100" s="14" t="s"/>
      <c r="AR100" s="14" t="s"/>
      <c r="AS100" s="14" t="s"/>
      <c r="AT100" s="14" t="s"/>
      <c r="AU100" s="14" t="s"/>
      <c r="AV100" s="14" t="s"/>
    </row>
    <row r="101" spans="1:48">
      <c r="A101" s="14" t="s"/>
      <c r="B101" s="14" t="s"/>
      <c r="C101" s="14" t="s"/>
      <c r="D101" s="14" t="s"/>
      <c r="E101" s="14" t="s"/>
      <c r="F101" s="14" t="s"/>
      <c r="G101" s="14" t="s"/>
      <c r="H101" s="14" t="s"/>
      <c r="I101" s="14" t="s"/>
      <c r="J101" s="14" t="s"/>
      <c r="K101" s="14" t="s"/>
      <c r="L101" s="14" t="s"/>
      <c r="M101" s="14" t="s"/>
      <c r="N101" s="14" t="s"/>
      <c r="O101" s="14" t="s"/>
      <c r="P101" s="14" t="s"/>
      <c r="Q101" s="14" t="s"/>
      <c r="R101" s="14" t="s"/>
      <c r="S101" s="14" t="s"/>
      <c r="T101" s="14" t="s"/>
      <c r="U101" s="14" t="s"/>
      <c r="AI101" s="14" t="s"/>
      <c r="AJ101" s="14" t="s"/>
      <c r="AK101" s="14" t="s"/>
      <c r="AL101" s="14" t="s"/>
      <c r="AM101" s="14" t="s"/>
      <c r="AN101" s="14" t="s"/>
      <c r="AO101" s="14" t="s"/>
      <c r="AP101" s="14" t="s"/>
      <c r="AQ101" s="14" t="s"/>
      <c r="AR101" s="14" t="s"/>
      <c r="AS101" s="14" t="s"/>
      <c r="AT101" s="14" t="s"/>
      <c r="AU101" s="14" t="s"/>
      <c r="AV101" s="14" t="s"/>
    </row>
    <row r="102" spans="1:48">
      <c r="A102" s="14" t="s"/>
      <c r="B102" s="14" t="s"/>
      <c r="C102" s="14" t="s"/>
      <c r="D102" s="14" t="s"/>
      <c r="E102" s="14" t="s"/>
      <c r="F102" s="14" t="s"/>
      <c r="G102" s="14" t="s"/>
      <c r="H102" s="14" t="s"/>
      <c r="I102" s="14" t="s"/>
      <c r="J102" s="14" t="s"/>
      <c r="K102" s="14" t="s"/>
      <c r="L102" s="14" t="s"/>
      <c r="M102" s="14" t="s"/>
      <c r="N102" s="14" t="s"/>
      <c r="O102" s="14" t="s"/>
      <c r="P102" s="14" t="s"/>
      <c r="Q102" s="14" t="s"/>
      <c r="R102" s="14" t="s"/>
      <c r="S102" s="14" t="s"/>
      <c r="T102" s="14" t="s"/>
      <c r="U102" s="14" t="s"/>
      <c r="AI102" s="14" t="s"/>
      <c r="AJ102" s="14" t="s"/>
      <c r="AK102" s="14" t="s"/>
      <c r="AL102" s="14" t="s"/>
      <c r="AM102" s="14" t="s"/>
      <c r="AN102" s="14" t="s"/>
      <c r="AO102" s="14" t="s"/>
      <c r="AP102" s="14" t="s"/>
      <c r="AQ102" s="14" t="s"/>
      <c r="AR102" s="14" t="s"/>
      <c r="AS102" s="14" t="s"/>
      <c r="AT102" s="14" t="s"/>
      <c r="AU102" s="14" t="s"/>
      <c r="AV102" s="14" t="s"/>
    </row>
    <row r="103" spans="1:48">
      <c r="A103" s="14" t="s"/>
      <c r="B103" s="14" t="s"/>
      <c r="C103" s="14" t="s"/>
      <c r="D103" s="14" t="s"/>
      <c r="E103" s="14" t="s"/>
      <c r="F103" s="14" t="s"/>
      <c r="G103" s="14" t="s"/>
      <c r="H103" s="14" t="s"/>
      <c r="I103" s="14" t="s"/>
      <c r="J103" s="14" t="s"/>
      <c r="K103" s="14" t="s"/>
      <c r="L103" s="14" t="s"/>
      <c r="M103" s="14" t="s"/>
      <c r="N103" s="14" t="s"/>
      <c r="O103" s="14" t="s"/>
      <c r="P103" s="14" t="s"/>
      <c r="Q103" s="14" t="s"/>
      <c r="R103" s="14" t="s"/>
      <c r="S103" s="14" t="s"/>
      <c r="T103" s="14" t="s"/>
      <c r="U103" s="14" t="s"/>
      <c r="AI103" s="14" t="s"/>
      <c r="AJ103" s="14" t="s"/>
      <c r="AK103" s="14" t="s"/>
      <c r="AL103" s="14" t="s"/>
      <c r="AM103" s="14" t="s"/>
      <c r="AN103" s="14" t="s"/>
      <c r="AO103" s="14" t="s"/>
      <c r="AP103" s="14" t="s"/>
      <c r="AQ103" s="14" t="s"/>
      <c r="AR103" s="14" t="s"/>
      <c r="AS103" s="14" t="s"/>
      <c r="AT103" s="14" t="s"/>
      <c r="AU103" s="14" t="s"/>
      <c r="AV103" s="14" t="s"/>
    </row>
    <row r="104" spans="1:48">
      <c r="A104" s="14" t="s"/>
      <c r="B104" s="14" t="s"/>
      <c r="C104" s="14" t="s"/>
      <c r="D104" s="14" t="s"/>
      <c r="E104" s="14" t="s"/>
      <c r="F104" s="14" t="s"/>
      <c r="G104" s="14" t="s"/>
      <c r="H104" s="14" t="s"/>
      <c r="I104" s="14" t="s"/>
      <c r="J104" s="14" t="s"/>
      <c r="K104" s="14" t="s"/>
      <c r="L104" s="14" t="s"/>
      <c r="M104" s="14" t="s"/>
      <c r="N104" s="14" t="s"/>
      <c r="O104" s="14" t="s"/>
      <c r="P104" s="14" t="s"/>
      <c r="Q104" s="14" t="s"/>
      <c r="R104" s="14" t="s"/>
      <c r="S104" s="14" t="s"/>
      <c r="T104" s="14" t="s"/>
      <c r="U104" s="14" t="s"/>
      <c r="AI104" s="14" t="s"/>
      <c r="AJ104" s="14" t="s"/>
      <c r="AK104" s="14" t="s"/>
      <c r="AL104" s="14" t="s"/>
      <c r="AM104" s="14" t="s"/>
      <c r="AN104" s="14" t="s"/>
      <c r="AO104" s="14" t="s"/>
      <c r="AP104" s="14" t="s"/>
      <c r="AQ104" s="14" t="s"/>
      <c r="AR104" s="14" t="s"/>
      <c r="AS104" s="14" t="s"/>
      <c r="AT104" s="14" t="s"/>
      <c r="AU104" s="14" t="s"/>
      <c r="AV104" s="14" t="s"/>
    </row>
    <row r="105" spans="1:48">
      <c r="A105" s="14" t="s"/>
      <c r="B105" s="14" t="s"/>
      <c r="C105" s="14" t="s"/>
      <c r="D105" s="14" t="s"/>
      <c r="E105" s="14" t="s"/>
      <c r="F105" s="14" t="s"/>
      <c r="G105" s="14" t="s"/>
      <c r="H105" s="14" t="s"/>
      <c r="I105" s="14" t="s"/>
      <c r="J105" s="14" t="s"/>
      <c r="K105" s="14" t="s"/>
      <c r="L105" s="14" t="s"/>
      <c r="M105" s="14" t="s"/>
      <c r="N105" s="14" t="s"/>
      <c r="O105" s="14" t="s"/>
      <c r="P105" s="14" t="s"/>
      <c r="Q105" s="14" t="s"/>
      <c r="R105" s="14" t="s"/>
      <c r="S105" s="14" t="s"/>
      <c r="T105" s="14" t="s"/>
      <c r="U105" s="14" t="s"/>
      <c r="AI105" s="14" t="s"/>
      <c r="AJ105" s="14" t="s"/>
      <c r="AK105" s="14" t="s"/>
      <c r="AL105" s="14" t="s"/>
      <c r="AM105" s="14" t="s"/>
      <c r="AN105" s="14" t="s"/>
      <c r="AO105" s="14" t="s"/>
      <c r="AP105" s="14" t="s"/>
      <c r="AQ105" s="14" t="s"/>
      <c r="AR105" s="14" t="s"/>
      <c r="AS105" s="14" t="s"/>
      <c r="AT105" s="14" t="s"/>
      <c r="AU105" s="14" t="s"/>
      <c r="AV105" s="14" t="s"/>
    </row>
    <row r="106" spans="1:48">
      <c r="A106" s="14" t="s"/>
      <c r="B106" s="14" t="s"/>
      <c r="C106" s="14" t="s"/>
      <c r="D106" s="14" t="s"/>
      <c r="E106" s="14" t="s"/>
      <c r="F106" s="14" t="s"/>
      <c r="G106" s="14" t="s"/>
      <c r="H106" s="14" t="s"/>
      <c r="I106" s="14" t="s"/>
      <c r="J106" s="14" t="s"/>
      <c r="K106" s="14" t="s"/>
      <c r="L106" s="14" t="s"/>
      <c r="M106" s="14" t="s"/>
      <c r="N106" s="14" t="s"/>
      <c r="O106" s="14" t="s"/>
      <c r="P106" s="14" t="s"/>
      <c r="Q106" s="14" t="s"/>
      <c r="R106" s="14" t="s"/>
      <c r="S106" s="14" t="s"/>
      <c r="T106" s="14" t="s"/>
      <c r="U106" s="14" t="s"/>
      <c r="AI106" s="14" t="s"/>
      <c r="AJ106" s="14" t="s"/>
      <c r="AK106" s="14" t="s"/>
      <c r="AL106" s="14" t="s"/>
      <c r="AM106" s="14" t="s"/>
      <c r="AN106" s="14" t="s"/>
      <c r="AO106" s="14" t="s"/>
      <c r="AP106" s="14" t="s"/>
      <c r="AQ106" s="14" t="s"/>
      <c r="AR106" s="14" t="s"/>
      <c r="AS106" s="14" t="s"/>
      <c r="AT106" s="14" t="s"/>
      <c r="AU106" s="14" t="s"/>
      <c r="AV106" s="14" t="s"/>
    </row>
    <row r="107" spans="1:48">
      <c r="A107" s="14" t="s"/>
      <c r="B107" s="14" t="s"/>
      <c r="C107" s="14" t="s"/>
      <c r="D107" s="14" t="s"/>
      <c r="E107" s="14" t="s"/>
      <c r="F107" s="14" t="s"/>
      <c r="G107" s="14" t="s"/>
      <c r="H107" s="14" t="s"/>
      <c r="I107" s="14" t="s"/>
      <c r="J107" s="14" t="s"/>
      <c r="K107" s="14" t="s"/>
      <c r="L107" s="14" t="s"/>
      <c r="M107" s="14" t="s"/>
      <c r="N107" s="14" t="s"/>
      <c r="O107" s="14" t="s"/>
      <c r="P107" s="14" t="s"/>
      <c r="Q107" s="14" t="s"/>
      <c r="R107" s="14" t="s"/>
      <c r="S107" s="14" t="s"/>
      <c r="T107" s="14" t="s"/>
      <c r="U107" s="14" t="s"/>
      <c r="AI107" s="14" t="s"/>
      <c r="AJ107" s="14" t="s"/>
      <c r="AK107" s="14" t="s"/>
      <c r="AL107" s="14" t="s"/>
      <c r="AM107" s="14" t="s"/>
      <c r="AN107" s="14" t="s"/>
      <c r="AO107" s="14" t="s"/>
      <c r="AP107" s="14" t="s"/>
      <c r="AQ107" s="14" t="s"/>
      <c r="AR107" s="14" t="s"/>
      <c r="AS107" s="14" t="s"/>
      <c r="AT107" s="14" t="s"/>
      <c r="AU107" s="14" t="s"/>
      <c r="AV107" s="14" t="s"/>
    </row>
    <row r="108" spans="1:48">
      <c r="A108" s="14" t="s"/>
      <c r="B108" s="14" t="s"/>
      <c r="C108" s="14" t="s"/>
      <c r="D108" s="14" t="s"/>
      <c r="E108" s="14" t="s"/>
      <c r="F108" s="14" t="s"/>
      <c r="G108" s="14" t="s"/>
      <c r="H108" s="14" t="s"/>
      <c r="I108" s="14" t="s"/>
      <c r="J108" s="14" t="s"/>
      <c r="K108" s="14" t="s"/>
      <c r="L108" s="14" t="s"/>
      <c r="M108" s="14" t="s"/>
      <c r="N108" s="14" t="s"/>
      <c r="O108" s="14" t="s"/>
      <c r="P108" s="14" t="s"/>
      <c r="Q108" s="14" t="s"/>
      <c r="R108" s="14" t="s"/>
      <c r="S108" s="14" t="s"/>
      <c r="T108" s="14" t="s"/>
      <c r="U108" s="14" t="s"/>
      <c r="AI108" s="14" t="s"/>
      <c r="AJ108" s="14" t="s"/>
      <c r="AK108" s="14" t="s"/>
      <c r="AL108" s="14" t="s"/>
      <c r="AM108" s="14" t="s"/>
      <c r="AN108" s="14" t="s"/>
      <c r="AO108" s="14" t="s"/>
      <c r="AP108" s="14" t="s"/>
      <c r="AQ108" s="14" t="s"/>
      <c r="AR108" s="14" t="s"/>
      <c r="AS108" s="14" t="s"/>
      <c r="AT108" s="14" t="s"/>
      <c r="AU108" s="14" t="s"/>
      <c r="AV108" s="14" t="s"/>
    </row>
    <row r="109" spans="1:48">
      <c r="A109" s="14" t="s"/>
      <c r="B109" s="14" t="s"/>
      <c r="C109" s="14" t="s"/>
      <c r="D109" s="14" t="s"/>
      <c r="E109" s="14" t="s"/>
      <c r="F109" s="14" t="s"/>
      <c r="G109" s="14" t="s"/>
      <c r="H109" s="14" t="s"/>
      <c r="I109" s="14" t="s"/>
      <c r="J109" s="14" t="s"/>
      <c r="K109" s="14" t="s"/>
      <c r="L109" s="14" t="s"/>
      <c r="M109" s="14" t="s"/>
      <c r="N109" s="14" t="s"/>
      <c r="O109" s="14" t="s"/>
      <c r="P109" s="14" t="s"/>
      <c r="Q109" s="14" t="s"/>
      <c r="R109" s="14" t="s"/>
      <c r="S109" s="14" t="s"/>
      <c r="T109" s="14" t="s"/>
      <c r="U109" s="14" t="s"/>
      <c r="AI109" s="14" t="s"/>
      <c r="AJ109" s="14" t="s"/>
      <c r="AK109" s="14" t="s"/>
      <c r="AL109" s="14" t="s"/>
      <c r="AM109" s="14" t="s"/>
      <c r="AN109" s="14" t="s"/>
      <c r="AO109" s="14" t="s"/>
      <c r="AP109" s="14" t="s"/>
      <c r="AQ109" s="14" t="s"/>
      <c r="AR109" s="14" t="s"/>
      <c r="AS109" s="14" t="s"/>
      <c r="AT109" s="14" t="s"/>
      <c r="AU109" s="14" t="s"/>
      <c r="AV109" s="14" t="s"/>
    </row>
    <row r="110" spans="1:48">
      <c r="A110" s="14" t="s"/>
      <c r="B110" s="14" t="s"/>
      <c r="C110" s="14" t="s"/>
      <c r="D110" s="14" t="s"/>
      <c r="E110" s="14" t="s"/>
      <c r="F110" s="14" t="s"/>
      <c r="G110" s="14" t="s"/>
      <c r="H110" s="14" t="s"/>
      <c r="I110" s="14" t="s"/>
      <c r="J110" s="14" t="s"/>
      <c r="K110" s="14" t="s"/>
      <c r="L110" s="14" t="s"/>
      <c r="M110" s="14" t="s"/>
      <c r="N110" s="14" t="s"/>
      <c r="O110" s="14" t="s"/>
      <c r="P110" s="14" t="s"/>
      <c r="Q110" s="14" t="s"/>
      <c r="R110" s="14" t="s"/>
      <c r="S110" s="14" t="s"/>
      <c r="T110" s="14" t="s"/>
      <c r="U110" s="14" t="s"/>
      <c r="AI110" s="14" t="s"/>
      <c r="AJ110" s="14" t="s"/>
      <c r="AK110" s="14" t="s"/>
      <c r="AL110" s="14" t="s"/>
      <c r="AM110" s="14" t="s"/>
      <c r="AN110" s="14" t="s"/>
      <c r="AO110" s="14" t="s"/>
      <c r="AP110" s="14" t="s"/>
      <c r="AQ110" s="14" t="s"/>
      <c r="AR110" s="14" t="s"/>
      <c r="AS110" s="14" t="s"/>
      <c r="AT110" s="14" t="s"/>
      <c r="AU110" s="14" t="s"/>
      <c r="AV110" s="14" t="s"/>
    </row>
    <row r="111" spans="1:48">
      <c r="A111" s="14" t="s"/>
      <c r="B111" s="14" t="s"/>
      <c r="C111" s="14" t="s"/>
      <c r="D111" s="14" t="s"/>
      <c r="E111" s="14" t="s"/>
      <c r="F111" s="14" t="s"/>
      <c r="G111" s="14" t="s"/>
      <c r="H111" s="14" t="s"/>
      <c r="I111" s="14" t="s"/>
      <c r="J111" s="14" t="s"/>
      <c r="K111" s="14" t="s"/>
      <c r="L111" s="14" t="s"/>
      <c r="M111" s="14" t="s"/>
      <c r="N111" s="14" t="s"/>
      <c r="O111" s="14" t="s"/>
      <c r="P111" s="14" t="s"/>
      <c r="Q111" s="14" t="s"/>
      <c r="R111" s="14" t="s"/>
      <c r="S111" s="14" t="s"/>
      <c r="T111" s="14" t="s"/>
      <c r="U111" s="14" t="s"/>
      <c r="AI111" s="14" t="s"/>
      <c r="AJ111" s="14" t="s"/>
      <c r="AK111" s="14" t="s"/>
      <c r="AL111" s="14" t="s"/>
      <c r="AM111" s="14" t="s"/>
      <c r="AN111" s="14" t="s"/>
      <c r="AO111" s="14" t="s"/>
      <c r="AP111" s="14" t="s"/>
      <c r="AQ111" s="14" t="s"/>
      <c r="AR111" s="14" t="s"/>
      <c r="AS111" s="14" t="s"/>
      <c r="AT111" s="14" t="s"/>
      <c r="AU111" s="14" t="s"/>
      <c r="AV111" s="14" t="s"/>
    </row>
    <row r="112" spans="1:48">
      <c r="A112" s="14" t="s"/>
      <c r="B112" s="14" t="s"/>
      <c r="C112" s="14" t="s"/>
      <c r="D112" s="14" t="s"/>
      <c r="E112" s="14" t="s"/>
      <c r="F112" s="14" t="s"/>
      <c r="G112" s="14" t="s"/>
      <c r="H112" s="14" t="s"/>
      <c r="I112" s="14" t="s"/>
      <c r="J112" s="14" t="s"/>
      <c r="K112" s="14" t="s"/>
      <c r="L112" s="14" t="s"/>
      <c r="M112" s="14" t="s"/>
      <c r="N112" s="14" t="s"/>
      <c r="O112" s="14" t="s"/>
      <c r="P112" s="14" t="s"/>
      <c r="Q112" s="14" t="s"/>
      <c r="R112" s="14" t="s"/>
      <c r="S112" s="14" t="s"/>
      <c r="T112" s="14" t="s"/>
      <c r="U112" s="14" t="s"/>
      <c r="AI112" s="14" t="s"/>
      <c r="AJ112" s="14" t="s"/>
      <c r="AK112" s="14" t="s"/>
      <c r="AL112" s="14" t="s"/>
      <c r="AM112" s="14" t="s"/>
      <c r="AN112" s="14" t="s"/>
      <c r="AO112" s="14" t="s"/>
      <c r="AP112" s="14" t="s"/>
      <c r="AQ112" s="14" t="s"/>
      <c r="AR112" s="14" t="s"/>
      <c r="AS112" s="14" t="s"/>
      <c r="AT112" s="14" t="s"/>
      <c r="AU112" s="14" t="s"/>
      <c r="AV112" s="14" t="s"/>
    </row>
    <row r="113" spans="1:48">
      <c r="A113" s="14" t="s"/>
      <c r="B113" s="14" t="s"/>
      <c r="C113" s="14" t="s"/>
      <c r="D113" s="14" t="s"/>
      <c r="E113" s="14" t="s"/>
      <c r="F113" s="14" t="s"/>
      <c r="G113" s="14" t="s"/>
      <c r="H113" s="14" t="s"/>
      <c r="I113" s="14" t="s"/>
      <c r="J113" s="14" t="s"/>
      <c r="K113" s="14" t="s"/>
      <c r="L113" s="14" t="s"/>
      <c r="M113" s="14" t="s"/>
      <c r="N113" s="14" t="s"/>
      <c r="O113" s="14" t="s"/>
      <c r="P113" s="14" t="s"/>
      <c r="Q113" s="14" t="s"/>
      <c r="R113" s="14" t="s"/>
      <c r="S113" s="14" t="s"/>
      <c r="T113" s="14" t="s"/>
      <c r="U113" s="14" t="s"/>
      <c r="AI113" s="14" t="s"/>
      <c r="AJ113" s="14" t="s"/>
      <c r="AK113" s="14" t="s"/>
      <c r="AL113" s="14" t="s"/>
      <c r="AM113" s="14" t="s"/>
      <c r="AN113" s="14" t="s"/>
      <c r="AO113" s="14" t="s"/>
      <c r="AP113" s="14" t="s"/>
      <c r="AQ113" s="14" t="s"/>
      <c r="AR113" s="14" t="s"/>
      <c r="AS113" s="14" t="s"/>
      <c r="AT113" s="14" t="s"/>
      <c r="AU113" s="14" t="s"/>
      <c r="AV113" s="14" t="s"/>
    </row>
    <row r="114" spans="1:48">
      <c r="A114" s="14" t="s"/>
      <c r="B114" s="14" t="s"/>
      <c r="C114" s="14" t="s"/>
      <c r="D114" s="14" t="s"/>
      <c r="E114" s="14" t="s"/>
      <c r="F114" s="14" t="s"/>
      <c r="G114" s="14" t="s"/>
      <c r="H114" s="14" t="s"/>
      <c r="I114" s="14" t="s"/>
      <c r="J114" s="14" t="s"/>
      <c r="K114" s="14" t="s"/>
      <c r="L114" s="14" t="s"/>
      <c r="M114" s="14" t="s"/>
      <c r="N114" s="14" t="s"/>
      <c r="O114" s="14" t="s"/>
      <c r="P114" s="14" t="s"/>
      <c r="Q114" s="14" t="s"/>
      <c r="R114" s="14" t="s"/>
      <c r="S114" s="14" t="s"/>
      <c r="T114" s="14" t="s"/>
      <c r="U114" s="14" t="s"/>
      <c r="AI114" s="14" t="s"/>
      <c r="AJ114" s="14" t="s"/>
      <c r="AK114" s="14" t="s"/>
      <c r="AL114" s="14" t="s"/>
      <c r="AM114" s="14" t="s"/>
      <c r="AN114" s="14" t="s"/>
      <c r="AO114" s="14" t="s"/>
      <c r="AP114" s="14" t="s"/>
      <c r="AQ114" s="14" t="s"/>
      <c r="AR114" s="14" t="s"/>
      <c r="AS114" s="14" t="s"/>
      <c r="AT114" s="14" t="s"/>
      <c r="AU114" s="14" t="s"/>
      <c r="AV114" s="14" t="s"/>
    </row>
    <row r="115" spans="1:48">
      <c r="A115" s="14" t="s"/>
      <c r="B115" s="14" t="s"/>
      <c r="C115" s="14" t="s"/>
      <c r="D115" s="14" t="s"/>
      <c r="E115" s="14" t="s"/>
      <c r="F115" s="14" t="s"/>
      <c r="G115" s="14" t="s"/>
      <c r="H115" s="14" t="s"/>
      <c r="I115" s="14" t="s"/>
      <c r="J115" s="14" t="s"/>
      <c r="K115" s="14" t="s"/>
      <c r="L115" s="14" t="s"/>
      <c r="M115" s="14" t="s"/>
      <c r="N115" s="14" t="s"/>
      <c r="O115" s="14" t="s"/>
      <c r="P115" s="14" t="s"/>
      <c r="Q115" s="14" t="s"/>
      <c r="R115" s="14" t="s"/>
      <c r="S115" s="14" t="s"/>
      <c r="T115" s="14" t="s"/>
      <c r="U115" s="14" t="s"/>
      <c r="AI115" s="14" t="s"/>
      <c r="AJ115" s="14" t="s"/>
      <c r="AK115" s="14" t="s"/>
      <c r="AL115" s="14" t="s"/>
      <c r="AM115" s="14" t="s"/>
      <c r="AN115" s="14" t="s"/>
      <c r="AO115" s="14" t="s"/>
      <c r="AP115" s="14" t="s"/>
      <c r="AQ115" s="14" t="s"/>
      <c r="AR115" s="14" t="s"/>
      <c r="AS115" s="14" t="s"/>
      <c r="AT115" s="14" t="s"/>
      <c r="AU115" s="14" t="s"/>
      <c r="AV115" s="14" t="s"/>
    </row>
    <row r="116" spans="1:48">
      <c r="A116" s="14" t="s"/>
      <c r="B116" s="14" t="s"/>
      <c r="C116" s="14" t="s"/>
      <c r="D116" s="14" t="s"/>
      <c r="E116" s="14" t="s"/>
      <c r="F116" s="14" t="s"/>
      <c r="G116" s="14" t="s"/>
      <c r="H116" s="14" t="s"/>
      <c r="I116" s="14" t="s"/>
      <c r="J116" s="14" t="s"/>
      <c r="K116" s="14" t="s"/>
      <c r="L116" s="14" t="s"/>
      <c r="M116" s="14" t="s"/>
      <c r="N116" s="14" t="s"/>
      <c r="O116" s="14" t="s"/>
      <c r="P116" s="14" t="s"/>
      <c r="Q116" s="14" t="s"/>
      <c r="R116" s="14" t="s"/>
      <c r="S116" s="14" t="s"/>
      <c r="T116" s="14" t="s"/>
      <c r="U116" s="14" t="s"/>
      <c r="AI116" s="14" t="s"/>
      <c r="AJ116" s="14" t="s"/>
      <c r="AK116" s="14" t="s"/>
      <c r="AL116" s="14" t="s"/>
      <c r="AM116" s="14" t="s"/>
      <c r="AN116" s="14" t="s"/>
      <c r="AO116" s="14" t="s"/>
      <c r="AP116" s="14" t="s"/>
      <c r="AQ116" s="14" t="s"/>
      <c r="AR116" s="14" t="s"/>
      <c r="AS116" s="14" t="s"/>
      <c r="AT116" s="14" t="s"/>
      <c r="AU116" s="14" t="s"/>
      <c r="AV116" s="14" t="s"/>
    </row>
    <row r="117" spans="1:48">
      <c r="A117" s="14" t="s"/>
      <c r="B117" s="14" t="s"/>
      <c r="C117" s="14" t="s"/>
      <c r="D117" s="14" t="s"/>
      <c r="E117" s="14" t="s"/>
      <c r="F117" s="14" t="s"/>
      <c r="G117" s="14" t="s"/>
      <c r="H117" s="14" t="s"/>
      <c r="I117" s="14" t="s"/>
      <c r="J117" s="14" t="s"/>
      <c r="K117" s="14" t="s"/>
      <c r="L117" s="14" t="s"/>
      <c r="M117" s="14" t="s"/>
      <c r="N117" s="14" t="s"/>
      <c r="O117" s="14" t="s"/>
      <c r="P117" s="14" t="s"/>
      <c r="Q117" s="14" t="s"/>
      <c r="R117" s="14" t="s"/>
      <c r="S117" s="14" t="s"/>
      <c r="T117" s="14" t="s"/>
      <c r="U117" s="14" t="s"/>
      <c r="AI117" s="14" t="s"/>
      <c r="AJ117" s="14" t="s"/>
      <c r="AK117" s="14" t="s"/>
      <c r="AL117" s="14" t="s"/>
      <c r="AM117" s="14" t="s"/>
      <c r="AN117" s="14" t="s"/>
      <c r="AO117" s="14" t="s"/>
      <c r="AP117" s="14" t="s"/>
      <c r="AQ117" s="14" t="s"/>
      <c r="AR117" s="14" t="s"/>
      <c r="AS117" s="14" t="s"/>
      <c r="AT117" s="14" t="s"/>
      <c r="AU117" s="14" t="s"/>
      <c r="AV117" s="14" t="s"/>
    </row>
    <row r="118" spans="1:48">
      <c r="A118" s="14" t="s"/>
      <c r="B118" s="14" t="s"/>
      <c r="C118" s="14" t="s"/>
      <c r="D118" s="14" t="s"/>
      <c r="E118" s="14" t="s"/>
      <c r="F118" s="14" t="s"/>
      <c r="G118" s="14" t="s"/>
      <c r="H118" s="14" t="s"/>
      <c r="I118" s="14" t="s"/>
      <c r="J118" s="14" t="s"/>
      <c r="K118" s="14" t="s"/>
      <c r="L118" s="14" t="s"/>
      <c r="M118" s="14" t="s"/>
      <c r="N118" s="14" t="s"/>
      <c r="O118" s="14" t="s"/>
      <c r="P118" s="14" t="s"/>
      <c r="Q118" s="14" t="s"/>
      <c r="R118" s="14" t="s"/>
      <c r="S118" s="14" t="s"/>
      <c r="T118" s="14" t="s"/>
      <c r="U118" s="14" t="s"/>
      <c r="AI118" s="14" t="s"/>
      <c r="AJ118" s="14" t="s"/>
      <c r="AK118" s="14" t="s"/>
      <c r="AL118" s="14" t="s"/>
      <c r="AM118" s="14" t="s"/>
      <c r="AN118" s="14" t="s"/>
      <c r="AO118" s="14" t="s"/>
      <c r="AP118" s="14" t="s"/>
      <c r="AQ118" s="14" t="s"/>
      <c r="AR118" s="14" t="s"/>
      <c r="AS118" s="14" t="s"/>
      <c r="AT118" s="14" t="s"/>
      <c r="AU118" s="14" t="s"/>
      <c r="AV118" s="14" t="s"/>
    </row>
    <row r="119" spans="1:48">
      <c r="A119" s="14" t="s"/>
      <c r="B119" s="14" t="s"/>
      <c r="C119" s="14" t="s"/>
      <c r="D119" s="14" t="s"/>
      <c r="E119" s="14" t="s"/>
      <c r="F119" s="14" t="s"/>
      <c r="G119" s="14" t="s"/>
      <c r="H119" s="14" t="s"/>
      <c r="I119" s="14" t="s"/>
      <c r="J119" s="14" t="s"/>
      <c r="K119" s="14" t="s"/>
      <c r="L119" s="14" t="s"/>
      <c r="M119" s="14" t="s"/>
      <c r="N119" s="14" t="s"/>
      <c r="O119" s="14" t="s"/>
      <c r="P119" s="14" t="s"/>
      <c r="Q119" s="14" t="s"/>
      <c r="R119" s="14" t="s"/>
      <c r="S119" s="14" t="s"/>
      <c r="T119" s="14" t="s"/>
      <c r="U119" s="14" t="s"/>
      <c r="AI119" s="14" t="s"/>
      <c r="AJ119" s="14" t="s"/>
      <c r="AK119" s="14" t="s"/>
      <c r="AL119" s="14" t="s"/>
      <c r="AM119" s="14" t="s"/>
      <c r="AN119" s="14" t="s"/>
      <c r="AO119" s="14" t="s"/>
      <c r="AP119" s="14" t="s"/>
      <c r="AQ119" s="14" t="s"/>
      <c r="AR119" s="14" t="s"/>
      <c r="AS119" s="14" t="s"/>
      <c r="AT119" s="14" t="s"/>
      <c r="AU119" s="14" t="s"/>
      <c r="AV119" s="14" t="s"/>
    </row>
    <row r="120" spans="1:48">
      <c r="A120" s="14" t="s"/>
      <c r="B120" s="14" t="s"/>
      <c r="C120" s="14" t="s"/>
      <c r="D120" s="14" t="s"/>
      <c r="E120" s="14" t="s"/>
      <c r="F120" s="14" t="s"/>
      <c r="G120" s="14" t="s"/>
      <c r="H120" s="14" t="s"/>
      <c r="I120" s="14" t="s"/>
      <c r="J120" s="14" t="s"/>
      <c r="K120" s="14" t="s"/>
      <c r="L120" s="14" t="s"/>
      <c r="M120" s="14" t="s"/>
      <c r="N120" s="14" t="s"/>
      <c r="O120" s="14" t="s"/>
      <c r="P120" s="14" t="s"/>
      <c r="Q120" s="14" t="s"/>
      <c r="R120" s="14" t="s"/>
      <c r="S120" s="14" t="s"/>
      <c r="T120" s="14" t="s"/>
      <c r="U120" s="14" t="s"/>
      <c r="AI120" s="14" t="s"/>
      <c r="AJ120" s="14" t="s"/>
      <c r="AK120" s="14" t="s"/>
      <c r="AL120" s="14" t="s"/>
      <c r="AM120" s="14" t="s"/>
      <c r="AN120" s="14" t="s"/>
      <c r="AO120" s="14" t="s"/>
      <c r="AP120" s="14" t="s"/>
      <c r="AQ120" s="14" t="s"/>
      <c r="AR120" s="14" t="s"/>
      <c r="AS120" s="14" t="s"/>
      <c r="AT120" s="14" t="s"/>
      <c r="AU120" s="14" t="s"/>
      <c r="AV120" s="14" t="s"/>
    </row>
    <row r="121" spans="1:48">
      <c r="A121" s="14" t="s"/>
      <c r="B121" s="14" t="s"/>
      <c r="C121" s="14" t="s"/>
      <c r="D121" s="14" t="s"/>
      <c r="E121" s="14" t="s"/>
      <c r="F121" s="14" t="s"/>
      <c r="G121" s="14" t="s"/>
      <c r="H121" s="14" t="s"/>
      <c r="I121" s="14" t="s"/>
      <c r="J121" s="14" t="s"/>
      <c r="K121" s="14" t="s"/>
      <c r="L121" s="14" t="s"/>
      <c r="M121" s="14" t="s"/>
      <c r="N121" s="14" t="s"/>
      <c r="O121" s="14" t="s"/>
      <c r="P121" s="14" t="s"/>
      <c r="Q121" s="14" t="s"/>
      <c r="R121" s="14" t="s"/>
      <c r="S121" s="14" t="s"/>
      <c r="T121" s="14" t="s"/>
      <c r="U121" s="14" t="s"/>
      <c r="AI121" s="14" t="s"/>
      <c r="AJ121" s="14" t="s"/>
      <c r="AK121" s="14" t="s"/>
      <c r="AL121" s="14" t="s"/>
      <c r="AM121" s="14" t="s"/>
      <c r="AN121" s="14" t="s"/>
      <c r="AO121" s="14" t="s"/>
      <c r="AP121" s="14" t="s"/>
      <c r="AQ121" s="14" t="s"/>
      <c r="AR121" s="14" t="s"/>
      <c r="AS121" s="14" t="s"/>
      <c r="AT121" s="14" t="s"/>
      <c r="AU121" s="14" t="s"/>
      <c r="AV121" s="14" t="s"/>
    </row>
    <row r="122" spans="1:48">
      <c r="A122" s="14" t="s"/>
      <c r="B122" s="14" t="s"/>
      <c r="C122" s="14" t="s"/>
      <c r="D122" s="14" t="s"/>
      <c r="E122" s="14" t="s"/>
      <c r="F122" s="14" t="s"/>
      <c r="G122" s="14" t="s"/>
      <c r="H122" s="14" t="s"/>
      <c r="I122" s="14" t="s"/>
      <c r="J122" s="14" t="s"/>
      <c r="K122" s="14" t="s"/>
      <c r="L122" s="14" t="s"/>
      <c r="M122" s="14" t="s"/>
      <c r="N122" s="14" t="s"/>
      <c r="O122" s="14" t="s"/>
      <c r="P122" s="14" t="s"/>
      <c r="Q122" s="14" t="s"/>
      <c r="R122" s="14" t="s"/>
      <c r="S122" s="14" t="s"/>
      <c r="T122" s="14" t="s"/>
      <c r="U122" s="14" t="s"/>
      <c r="AI122" s="14" t="s"/>
      <c r="AJ122" s="14" t="s"/>
      <c r="AK122" s="14" t="s"/>
      <c r="AL122" s="14" t="s"/>
      <c r="AM122" s="14" t="s"/>
      <c r="AN122" s="14" t="s"/>
      <c r="AO122" s="14" t="s"/>
      <c r="AP122" s="14" t="s"/>
      <c r="AQ122" s="14" t="s"/>
      <c r="AR122" s="14" t="s"/>
      <c r="AS122" s="14" t="s"/>
      <c r="AT122" s="14" t="s"/>
      <c r="AU122" s="14" t="s"/>
      <c r="AV122" s="14" t="s"/>
    </row>
    <row r="123" spans="1:48">
      <c r="A123" s="14" t="s"/>
      <c r="B123" s="14" t="s"/>
      <c r="C123" s="14" t="s"/>
      <c r="D123" s="14" t="s"/>
      <c r="E123" s="14" t="s"/>
      <c r="F123" s="14" t="s"/>
      <c r="G123" s="14" t="s"/>
      <c r="H123" s="14" t="s"/>
      <c r="I123" s="14" t="s"/>
      <c r="J123" s="14" t="s"/>
      <c r="K123" s="14" t="s"/>
      <c r="L123" s="14" t="s"/>
      <c r="M123" s="14" t="s"/>
      <c r="N123" s="14" t="s"/>
      <c r="O123" s="14" t="s"/>
      <c r="P123" s="14" t="s"/>
      <c r="Q123" s="14" t="s"/>
      <c r="R123" s="14" t="s"/>
      <c r="S123" s="14" t="s"/>
      <c r="T123" s="14" t="s"/>
      <c r="U123" s="14" t="s"/>
      <c r="AI123" s="14" t="s"/>
      <c r="AJ123" s="14" t="s"/>
      <c r="AK123" s="14" t="s"/>
      <c r="AL123" s="14" t="s"/>
      <c r="AM123" s="14" t="s"/>
      <c r="AN123" s="14" t="s"/>
      <c r="AO123" s="14" t="s"/>
      <c r="AP123" s="14" t="s"/>
      <c r="AQ123" s="14" t="s"/>
      <c r="AR123" s="14" t="s"/>
      <c r="AS123" s="14" t="s"/>
      <c r="AT123" s="14" t="s"/>
      <c r="AU123" s="14" t="s"/>
      <c r="AV123" s="14" t="s"/>
    </row>
    <row r="124" spans="1:48">
      <c r="A124" s="14" t="s"/>
      <c r="B124" s="14" t="s"/>
      <c r="C124" s="14" t="s"/>
      <c r="D124" s="14" t="s"/>
      <c r="E124" s="14" t="s"/>
      <c r="F124" s="14" t="s"/>
      <c r="G124" s="14" t="s"/>
      <c r="H124" s="14" t="s"/>
      <c r="I124" s="14" t="s"/>
      <c r="J124" s="14" t="s"/>
      <c r="K124" s="14" t="s"/>
      <c r="L124" s="14" t="s"/>
      <c r="M124" s="14" t="s"/>
      <c r="N124" s="14" t="s"/>
      <c r="O124" s="14" t="s"/>
      <c r="P124" s="14" t="s"/>
      <c r="Q124" s="14" t="s"/>
      <c r="R124" s="14" t="s"/>
      <c r="S124" s="14" t="s"/>
      <c r="T124" s="14" t="s"/>
      <c r="U124" s="14" t="s"/>
      <c r="AI124" s="14" t="s"/>
      <c r="AJ124" s="14" t="s"/>
      <c r="AK124" s="14" t="s"/>
      <c r="AL124" s="14" t="s"/>
      <c r="AM124" s="14" t="s"/>
      <c r="AN124" s="14" t="s"/>
      <c r="AO124" s="14" t="s"/>
      <c r="AP124" s="14" t="s"/>
      <c r="AQ124" s="14" t="s"/>
      <c r="AR124" s="14" t="s"/>
      <c r="AS124" s="14" t="s"/>
      <c r="AT124" s="14" t="s"/>
      <c r="AU124" s="14" t="s"/>
      <c r="AV124" s="14" t="s"/>
    </row>
    <row r="125" spans="1:48">
      <c r="A125" s="14" t="s"/>
      <c r="B125" s="14" t="s"/>
      <c r="C125" s="14" t="s"/>
      <c r="D125" s="14" t="s"/>
      <c r="E125" s="14" t="s"/>
      <c r="F125" s="14" t="s"/>
      <c r="G125" s="14" t="s"/>
      <c r="H125" s="14" t="s"/>
      <c r="I125" s="14" t="s"/>
      <c r="J125" s="14" t="s"/>
      <c r="K125" s="14" t="s"/>
      <c r="L125" s="14" t="s"/>
      <c r="M125" s="14" t="s"/>
      <c r="N125" s="14" t="s"/>
      <c r="O125" s="14" t="s"/>
      <c r="P125" s="14" t="s"/>
      <c r="Q125" s="14" t="s"/>
      <c r="R125" s="14" t="s"/>
      <c r="S125" s="14" t="s"/>
      <c r="T125" s="14" t="s"/>
      <c r="U125" s="14" t="s"/>
      <c r="AI125" s="14" t="s"/>
      <c r="AJ125" s="14" t="s"/>
      <c r="AK125" s="14" t="s"/>
      <c r="AL125" s="14" t="s"/>
      <c r="AM125" s="14" t="s"/>
      <c r="AN125" s="14" t="s"/>
      <c r="AO125" s="14" t="s"/>
      <c r="AP125" s="14" t="s"/>
      <c r="AQ125" s="14" t="s"/>
      <c r="AR125" s="14" t="s"/>
      <c r="AS125" s="14" t="s"/>
      <c r="AT125" s="14" t="s"/>
      <c r="AU125" s="14" t="s"/>
      <c r="AV125" s="14" t="s"/>
    </row>
    <row r="126" spans="1:48">
      <c r="A126" s="14" t="s"/>
      <c r="B126" s="14" t="s"/>
      <c r="C126" s="14" t="s"/>
      <c r="D126" s="14" t="s"/>
      <c r="E126" s="14" t="s"/>
      <c r="F126" s="14" t="s"/>
      <c r="G126" s="14" t="s"/>
      <c r="H126" s="14" t="s"/>
      <c r="I126" s="14" t="s"/>
      <c r="J126" s="14" t="s"/>
      <c r="K126" s="14" t="s"/>
      <c r="L126" s="14" t="s"/>
      <c r="M126" s="14" t="s"/>
      <c r="N126" s="14" t="s"/>
      <c r="O126" s="14" t="s"/>
      <c r="P126" s="14" t="s"/>
      <c r="Q126" s="14" t="s"/>
      <c r="R126" s="14" t="s"/>
      <c r="S126" s="14" t="s"/>
      <c r="T126" s="14" t="s"/>
      <c r="U126" s="14" t="s"/>
      <c r="AI126" s="14" t="s"/>
      <c r="AJ126" s="14" t="s"/>
      <c r="AK126" s="14" t="s"/>
      <c r="AL126" s="14" t="s"/>
      <c r="AM126" s="14" t="s"/>
      <c r="AN126" s="14" t="s"/>
      <c r="AO126" s="14" t="s"/>
      <c r="AP126" s="14" t="s"/>
      <c r="AQ126" s="14" t="s"/>
      <c r="AR126" s="14" t="s"/>
      <c r="AS126" s="14" t="s"/>
      <c r="AT126" s="14" t="s"/>
      <c r="AU126" s="14" t="s"/>
      <c r="AV126" s="14" t="s"/>
    </row>
    <row r="127" spans="1:48">
      <c r="A127" s="14" t="s"/>
      <c r="B127" s="14" t="s"/>
      <c r="C127" s="14" t="s"/>
      <c r="D127" s="14" t="s"/>
      <c r="E127" s="14" t="s"/>
      <c r="F127" s="14" t="s"/>
      <c r="G127" s="14" t="s"/>
      <c r="H127" s="14" t="s"/>
      <c r="I127" s="14" t="s"/>
      <c r="J127" s="14" t="s"/>
      <c r="K127" s="14" t="s"/>
      <c r="L127" s="14" t="s"/>
      <c r="M127" s="14" t="s"/>
      <c r="N127" s="14" t="s"/>
      <c r="O127" s="14" t="s"/>
      <c r="P127" s="14" t="s"/>
      <c r="Q127" s="14" t="s"/>
      <c r="R127" s="14" t="s"/>
      <c r="S127" s="14" t="s"/>
      <c r="T127" s="14" t="s"/>
      <c r="U127" s="14" t="s"/>
      <c r="AI127" s="14" t="s"/>
      <c r="AJ127" s="14" t="s"/>
      <c r="AK127" s="14" t="s"/>
      <c r="AL127" s="14" t="s"/>
      <c r="AM127" s="14" t="s"/>
      <c r="AN127" s="14" t="s"/>
      <c r="AO127" s="14" t="s"/>
      <c r="AP127" s="14" t="s"/>
      <c r="AQ127" s="14" t="s"/>
      <c r="AR127" s="14" t="s"/>
      <c r="AS127" s="14" t="s"/>
      <c r="AT127" s="14" t="s"/>
      <c r="AU127" s="14" t="s"/>
      <c r="AV127" s="14" t="s"/>
    </row>
    <row r="128" spans="1:48">
      <c r="A128" s="14" t="s"/>
      <c r="B128" s="14" t="s"/>
      <c r="C128" s="14" t="s"/>
      <c r="D128" s="14" t="s"/>
      <c r="E128" s="14" t="s"/>
      <c r="F128" s="14" t="s"/>
      <c r="G128" s="14" t="s"/>
      <c r="H128" s="14" t="s"/>
      <c r="I128" s="14" t="s"/>
      <c r="J128" s="14" t="s"/>
      <c r="K128" s="14" t="s"/>
      <c r="L128" s="14" t="s"/>
      <c r="M128" s="14" t="s"/>
      <c r="N128" s="14" t="s"/>
      <c r="O128" s="14" t="s"/>
      <c r="P128" s="14" t="s"/>
      <c r="Q128" s="14" t="s"/>
      <c r="R128" s="14" t="s"/>
      <c r="S128" s="14" t="s"/>
      <c r="T128" s="14" t="s"/>
      <c r="U128" s="14" t="s"/>
      <c r="AI128" s="14" t="s"/>
      <c r="AJ128" s="14" t="s"/>
      <c r="AK128" s="14" t="s"/>
      <c r="AL128" s="14" t="s"/>
      <c r="AM128" s="14" t="s"/>
      <c r="AN128" s="14" t="s"/>
      <c r="AO128" s="14" t="s"/>
      <c r="AP128" s="14" t="s"/>
      <c r="AQ128" s="14" t="s"/>
      <c r="AR128" s="14" t="s"/>
      <c r="AS128" s="14" t="s"/>
      <c r="AT128" s="14" t="s"/>
      <c r="AU128" s="14" t="s"/>
      <c r="AV128" s="14" t="s"/>
    </row>
    <row r="129" spans="1:48">
      <c r="A129" s="14" t="s"/>
      <c r="B129" s="14" t="s"/>
      <c r="C129" s="14" t="s"/>
      <c r="D129" s="14" t="s"/>
      <c r="E129" s="14" t="s"/>
      <c r="F129" s="14" t="s"/>
      <c r="G129" s="14" t="s"/>
      <c r="H129" s="14" t="s"/>
      <c r="I129" s="14" t="s"/>
      <c r="J129" s="14" t="s"/>
      <c r="K129" s="14" t="s"/>
      <c r="L129" s="14" t="s"/>
      <c r="M129" s="14" t="s"/>
      <c r="N129" s="14" t="s"/>
      <c r="O129" s="14" t="s"/>
      <c r="P129" s="14" t="s"/>
      <c r="Q129" s="14" t="s"/>
      <c r="R129" s="14" t="s"/>
      <c r="S129" s="14" t="s"/>
      <c r="T129" s="14" t="s"/>
      <c r="U129" s="14" t="s"/>
      <c r="AI129" s="14" t="s"/>
      <c r="AJ129" s="14" t="s"/>
      <c r="AK129" s="14" t="s"/>
      <c r="AL129" s="14" t="s"/>
      <c r="AM129" s="14" t="s"/>
      <c r="AN129" s="14" t="s"/>
      <c r="AO129" s="14" t="s"/>
      <c r="AP129" s="14" t="s"/>
      <c r="AQ129" s="14" t="s"/>
      <c r="AR129" s="14" t="s"/>
      <c r="AS129" s="14" t="s"/>
      <c r="AT129" s="14" t="s"/>
      <c r="AU129" s="14" t="s"/>
      <c r="AV129" s="14" t="s"/>
    </row>
    <row r="130" spans="1:48">
      <c r="A130" s="14" t="s"/>
      <c r="B130" s="14" t="s"/>
      <c r="C130" s="14" t="s"/>
      <c r="D130" s="14" t="s"/>
      <c r="E130" s="14" t="s"/>
      <c r="F130" s="14" t="s"/>
      <c r="G130" s="14" t="s"/>
      <c r="H130" s="14" t="s"/>
      <c r="I130" s="14" t="s"/>
      <c r="J130" s="14" t="s"/>
      <c r="K130" s="14" t="s"/>
      <c r="L130" s="14" t="s"/>
      <c r="M130" s="14" t="s"/>
      <c r="N130" s="14" t="s"/>
      <c r="O130" s="14" t="s"/>
      <c r="P130" s="14" t="s"/>
      <c r="Q130" s="14" t="s"/>
      <c r="R130" s="14" t="s"/>
      <c r="S130" s="14" t="s"/>
      <c r="T130" s="14" t="s"/>
      <c r="U130" s="14" t="s"/>
      <c r="AI130" s="14" t="s"/>
      <c r="AJ130" s="14" t="s"/>
      <c r="AK130" s="14" t="s"/>
      <c r="AL130" s="14" t="s"/>
      <c r="AM130" s="14" t="s"/>
      <c r="AN130" s="14" t="s"/>
      <c r="AO130" s="14" t="s"/>
      <c r="AP130" s="14" t="s"/>
      <c r="AQ130" s="14" t="s"/>
      <c r="AR130" s="14" t="s"/>
      <c r="AS130" s="14" t="s"/>
      <c r="AT130" s="14" t="s"/>
      <c r="AU130" s="14" t="s"/>
      <c r="AV130" s="14" t="s"/>
    </row>
    <row r="131" spans="1:48">
      <c r="A131" s="14" t="s"/>
      <c r="B131" s="14" t="s"/>
      <c r="C131" s="14" t="s"/>
      <c r="D131" s="14" t="s"/>
      <c r="E131" s="14" t="s"/>
      <c r="F131" s="14" t="s"/>
      <c r="G131" s="14" t="s"/>
      <c r="H131" s="14" t="s"/>
      <c r="I131" s="14" t="s"/>
      <c r="J131" s="14" t="s"/>
      <c r="K131" s="14" t="s"/>
      <c r="L131" s="14" t="s"/>
      <c r="M131" s="14" t="s"/>
      <c r="N131" s="14" t="s"/>
      <c r="O131" s="14" t="s"/>
      <c r="P131" s="14" t="s"/>
      <c r="Q131" s="14" t="s"/>
      <c r="R131" s="14" t="s"/>
      <c r="S131" s="14" t="s"/>
      <c r="T131" s="14" t="s"/>
      <c r="U131" s="14" t="s"/>
      <c r="AI131" s="14" t="s"/>
      <c r="AJ131" s="14" t="s"/>
      <c r="AK131" s="14" t="s"/>
      <c r="AL131" s="14" t="s"/>
      <c r="AM131" s="14" t="s"/>
      <c r="AN131" s="14" t="s"/>
      <c r="AO131" s="14" t="s"/>
      <c r="AP131" s="14" t="s"/>
      <c r="AQ131" s="14" t="s"/>
      <c r="AR131" s="14" t="s"/>
      <c r="AS131" s="14" t="s"/>
      <c r="AT131" s="14" t="s"/>
      <c r="AU131" s="14" t="s"/>
      <c r="AV131" s="14" t="s"/>
    </row>
    <row r="132" spans="1:48">
      <c r="A132" s="14" t="s"/>
      <c r="B132" s="14" t="s"/>
      <c r="C132" s="14" t="s"/>
      <c r="D132" s="14" t="s"/>
      <c r="E132" s="14" t="s"/>
      <c r="F132" s="14" t="s"/>
      <c r="G132" s="14" t="s"/>
      <c r="H132" s="14" t="s"/>
      <c r="I132" s="14" t="s"/>
      <c r="J132" s="14" t="s"/>
      <c r="K132" s="14" t="s"/>
      <c r="L132" s="14" t="s"/>
      <c r="M132" s="14" t="s"/>
      <c r="N132" s="14" t="s"/>
      <c r="O132" s="14" t="s"/>
      <c r="P132" s="14" t="s"/>
      <c r="Q132" s="14" t="s"/>
      <c r="R132" s="14" t="s"/>
      <c r="S132" s="14" t="s"/>
      <c r="T132" s="14" t="s"/>
      <c r="U132" s="14" t="s"/>
      <c r="AI132" s="14" t="s"/>
      <c r="AJ132" s="14" t="s"/>
      <c r="AK132" s="14" t="s"/>
      <c r="AL132" s="14" t="s"/>
      <c r="AM132" s="14" t="s"/>
      <c r="AN132" s="14" t="s"/>
      <c r="AO132" s="14" t="s"/>
      <c r="AP132" s="14" t="s"/>
      <c r="AQ132" s="14" t="s"/>
      <c r="AR132" s="14" t="s"/>
      <c r="AS132" s="14" t="s"/>
      <c r="AT132" s="14" t="s"/>
      <c r="AU132" s="14" t="s"/>
      <c r="AV132" s="14" t="s"/>
    </row>
    <row r="133" spans="1:48">
      <c r="A133" s="14" t="s"/>
      <c r="B133" s="14" t="s"/>
      <c r="C133" s="14" t="s"/>
      <c r="D133" s="14" t="s"/>
      <c r="E133" s="14" t="s"/>
      <c r="F133" s="14" t="s"/>
      <c r="G133" s="14" t="s"/>
      <c r="H133" s="14" t="s"/>
      <c r="I133" s="14" t="s"/>
      <c r="J133" s="14" t="s"/>
      <c r="K133" s="14" t="s"/>
      <c r="L133" s="14" t="s"/>
      <c r="M133" s="14" t="s"/>
      <c r="N133" s="14" t="s"/>
      <c r="O133" s="14" t="s"/>
      <c r="P133" s="14" t="s"/>
      <c r="Q133" s="14" t="s"/>
      <c r="R133" s="14" t="s"/>
      <c r="S133" s="14" t="s"/>
      <c r="T133" s="14" t="s"/>
      <c r="U133" s="14" t="s"/>
      <c r="AI133" s="14" t="s"/>
      <c r="AJ133" s="14" t="s"/>
      <c r="AK133" s="14" t="s"/>
      <c r="AL133" s="14" t="s"/>
      <c r="AM133" s="14" t="s"/>
      <c r="AN133" s="14" t="s"/>
      <c r="AO133" s="14" t="s"/>
      <c r="AP133" s="14" t="s"/>
      <c r="AQ133" s="14" t="s"/>
      <c r="AR133" s="14" t="s"/>
      <c r="AS133" s="14" t="s"/>
      <c r="AT133" s="14" t="s"/>
      <c r="AU133" s="14" t="s"/>
      <c r="AV133" s="14" t="s"/>
    </row>
    <row r="134" spans="1:48">
      <c r="A134" s="14" t="s"/>
      <c r="B134" s="14" t="s"/>
      <c r="C134" s="14" t="s"/>
      <c r="D134" s="14" t="s"/>
      <c r="E134" s="14" t="s"/>
      <c r="F134" s="14" t="s"/>
      <c r="G134" s="14" t="s"/>
      <c r="H134" s="14" t="s"/>
      <c r="I134" s="14" t="s"/>
      <c r="J134" s="14" t="s"/>
      <c r="K134" s="14" t="s"/>
      <c r="L134" s="14" t="s"/>
      <c r="M134" s="14" t="s"/>
      <c r="N134" s="14" t="s"/>
      <c r="O134" s="14" t="s"/>
      <c r="P134" s="14" t="s"/>
      <c r="Q134" s="14" t="s"/>
      <c r="R134" s="14" t="s"/>
      <c r="S134" s="14" t="s"/>
      <c r="T134" s="14" t="s"/>
      <c r="U134" s="14" t="s"/>
      <c r="AI134" s="14" t="s"/>
      <c r="AJ134" s="14" t="s"/>
      <c r="AK134" s="14" t="s"/>
      <c r="AL134" s="14" t="s"/>
      <c r="AM134" s="14" t="s"/>
      <c r="AN134" s="14" t="s"/>
      <c r="AO134" s="14" t="s"/>
      <c r="AP134" s="14" t="s"/>
      <c r="AQ134" s="14" t="s"/>
      <c r="AR134" s="14" t="s"/>
      <c r="AS134" s="14" t="s"/>
      <c r="AT134" s="14" t="s"/>
      <c r="AU134" s="14" t="s"/>
      <c r="AV134" s="14" t="s"/>
    </row>
    <row r="135" spans="1:48">
      <c r="A135" s="14" t="s"/>
      <c r="B135" s="14" t="s"/>
      <c r="C135" s="14" t="s"/>
      <c r="D135" s="14" t="s"/>
      <c r="E135" s="14" t="s"/>
      <c r="F135" s="14" t="s"/>
      <c r="G135" s="14" t="s"/>
      <c r="H135" s="14" t="s"/>
      <c r="I135" s="14" t="s"/>
      <c r="J135" s="14" t="s"/>
      <c r="K135" s="14" t="s"/>
      <c r="L135" s="14" t="s"/>
      <c r="M135" s="14" t="s"/>
      <c r="N135" s="14" t="s"/>
      <c r="O135" s="14" t="s"/>
      <c r="P135" s="14" t="s"/>
      <c r="Q135" s="14" t="s"/>
      <c r="R135" s="14" t="s"/>
      <c r="S135" s="14" t="s"/>
      <c r="T135" s="14" t="s"/>
      <c r="U135" s="14" t="s"/>
      <c r="AI135" s="14" t="s"/>
      <c r="AJ135" s="14" t="s"/>
      <c r="AK135" s="14" t="s"/>
      <c r="AL135" s="14" t="s"/>
      <c r="AM135" s="14" t="s"/>
      <c r="AN135" s="14" t="s"/>
      <c r="AO135" s="14" t="s"/>
      <c r="AP135" s="14" t="s"/>
      <c r="AQ135" s="14" t="s"/>
      <c r="AR135" s="14" t="s"/>
      <c r="AS135" s="14" t="s"/>
      <c r="AT135" s="14" t="s"/>
      <c r="AU135" s="14" t="s"/>
      <c r="AV135" s="14" t="s"/>
    </row>
    <row r="136" spans="1:48">
      <c r="A136" s="14" t="s"/>
      <c r="B136" s="14" t="s"/>
      <c r="C136" s="14" t="s"/>
      <c r="D136" s="14" t="s"/>
      <c r="E136" s="14" t="s"/>
      <c r="F136" s="14" t="s"/>
      <c r="G136" s="14" t="s"/>
      <c r="H136" s="14" t="s"/>
      <c r="I136" s="14" t="s"/>
      <c r="J136" s="14" t="s"/>
      <c r="K136" s="14" t="s"/>
      <c r="L136" s="14" t="s"/>
      <c r="M136" s="14" t="s"/>
      <c r="N136" s="14" t="s"/>
      <c r="O136" s="14" t="s"/>
      <c r="P136" s="14" t="s"/>
      <c r="Q136" s="14" t="s"/>
      <c r="R136" s="14" t="s"/>
      <c r="S136" s="14" t="s"/>
      <c r="T136" s="14" t="s"/>
      <c r="U136" s="14" t="s"/>
      <c r="AI136" s="14" t="s"/>
      <c r="AJ136" s="14" t="s"/>
      <c r="AK136" s="14" t="s"/>
      <c r="AL136" s="14" t="s"/>
      <c r="AM136" s="14" t="s"/>
      <c r="AN136" s="14" t="s"/>
      <c r="AO136" s="14" t="s"/>
      <c r="AP136" s="14" t="s"/>
      <c r="AQ136" s="14" t="s"/>
      <c r="AR136" s="14" t="s"/>
      <c r="AS136" s="14" t="s"/>
      <c r="AT136" s="14" t="s"/>
      <c r="AU136" s="14" t="s"/>
      <c r="AV136" s="14" t="s"/>
    </row>
    <row r="137" spans="1:48">
      <c r="A137" s="14" t="s"/>
      <c r="B137" s="14" t="s"/>
      <c r="C137" s="14" t="s"/>
      <c r="D137" s="14" t="s"/>
      <c r="E137" s="14" t="s"/>
      <c r="F137" s="14" t="s"/>
      <c r="G137" s="14" t="s"/>
      <c r="H137" s="14" t="s"/>
      <c r="I137" s="14" t="s"/>
      <c r="J137" s="14" t="s"/>
      <c r="K137" s="14" t="s"/>
      <c r="L137" s="14" t="s"/>
      <c r="M137" s="14" t="s"/>
      <c r="N137" s="14" t="s"/>
      <c r="O137" s="14" t="s"/>
      <c r="P137" s="14" t="s"/>
      <c r="Q137" s="14" t="s"/>
      <c r="R137" s="14" t="s"/>
      <c r="S137" s="14" t="s"/>
      <c r="T137" s="14" t="s"/>
      <c r="U137" s="14" t="s"/>
      <c r="AI137" s="14" t="s"/>
      <c r="AJ137" s="14" t="s"/>
      <c r="AK137" s="14" t="s"/>
      <c r="AL137" s="14" t="s"/>
      <c r="AM137" s="14" t="s"/>
      <c r="AN137" s="14" t="s"/>
      <c r="AO137" s="14" t="s"/>
      <c r="AP137" s="14" t="s"/>
      <c r="AQ137" s="14" t="s"/>
      <c r="AR137" s="14" t="s"/>
      <c r="AS137" s="14" t="s"/>
      <c r="AT137" s="14" t="s"/>
      <c r="AU137" s="14" t="s"/>
      <c r="AV137" s="14" t="s"/>
    </row>
    <row r="138" spans="1:48">
      <c r="A138" s="14" t="s"/>
      <c r="B138" s="14" t="s"/>
      <c r="C138" s="14" t="s"/>
      <c r="D138" s="14" t="s"/>
      <c r="E138" s="14" t="s"/>
      <c r="F138" s="14" t="s"/>
      <c r="G138" s="14" t="s"/>
      <c r="H138" s="14" t="s"/>
      <c r="I138" s="14" t="s"/>
      <c r="J138" s="14" t="s"/>
      <c r="K138" s="14" t="s"/>
      <c r="L138" s="14" t="s"/>
      <c r="M138" s="14" t="s"/>
      <c r="N138" s="14" t="s"/>
      <c r="O138" s="14" t="s"/>
      <c r="P138" s="14" t="s"/>
      <c r="Q138" s="14" t="s"/>
      <c r="R138" s="14" t="s"/>
      <c r="S138" s="14" t="s"/>
      <c r="T138" s="14" t="s"/>
      <c r="U138" s="14" t="s"/>
      <c r="AI138" s="14" t="s"/>
      <c r="AJ138" s="14" t="s"/>
      <c r="AK138" s="14" t="s"/>
      <c r="AL138" s="14" t="s"/>
      <c r="AM138" s="14" t="s"/>
      <c r="AN138" s="14" t="s"/>
      <c r="AO138" s="14" t="s"/>
      <c r="AP138" s="14" t="s"/>
      <c r="AQ138" s="14" t="s"/>
      <c r="AR138" s="14" t="s"/>
      <c r="AS138" s="14" t="s"/>
      <c r="AT138" s="14" t="s"/>
      <c r="AU138" s="14" t="s"/>
      <c r="AV138" s="14" t="s"/>
    </row>
    <row r="139" spans="1:48">
      <c r="A139" s="14" t="s"/>
      <c r="B139" s="14" t="s"/>
      <c r="C139" s="14" t="s"/>
      <c r="D139" s="14" t="s"/>
      <c r="E139" s="14" t="s"/>
      <c r="F139" s="14" t="s"/>
      <c r="G139" s="14" t="s"/>
      <c r="H139" s="14" t="s"/>
      <c r="I139" s="14" t="s"/>
      <c r="J139" s="14" t="s"/>
      <c r="K139" s="14" t="s"/>
      <c r="L139" s="14" t="s"/>
      <c r="M139" s="14" t="s"/>
      <c r="N139" s="14" t="s"/>
      <c r="O139" s="14" t="s"/>
      <c r="P139" s="14" t="s"/>
      <c r="Q139" s="14" t="s"/>
      <c r="R139" s="14" t="s"/>
      <c r="S139" s="14" t="s"/>
      <c r="T139" s="14" t="s"/>
      <c r="U139" s="14" t="s"/>
      <c r="AI139" s="14" t="s"/>
      <c r="AJ139" s="14" t="s"/>
      <c r="AK139" s="14" t="s"/>
      <c r="AL139" s="14" t="s"/>
      <c r="AM139" s="14" t="s"/>
      <c r="AN139" s="14" t="s"/>
      <c r="AO139" s="14" t="s"/>
      <c r="AP139" s="14" t="s"/>
      <c r="AQ139" s="14" t="s"/>
      <c r="AR139" s="14" t="s"/>
      <c r="AS139" s="14" t="s"/>
      <c r="AT139" s="14" t="s"/>
      <c r="AU139" s="14" t="s"/>
      <c r="AV139" s="14" t="s"/>
    </row>
    <row r="140" spans="1:48">
      <c r="A140" s="14" t="s"/>
      <c r="B140" s="14" t="s"/>
      <c r="C140" s="14" t="s"/>
      <c r="D140" s="14" t="s"/>
      <c r="E140" s="14" t="s"/>
      <c r="F140" s="14" t="s"/>
      <c r="G140" s="14" t="s"/>
      <c r="H140" s="14" t="s"/>
      <c r="I140" s="14" t="s"/>
      <c r="J140" s="14" t="s"/>
      <c r="K140" s="14" t="s"/>
      <c r="L140" s="14" t="s"/>
      <c r="M140" s="14" t="s"/>
      <c r="N140" s="14" t="s"/>
      <c r="O140" s="14" t="s"/>
      <c r="P140" s="14" t="s"/>
      <c r="Q140" s="14" t="s"/>
      <c r="R140" s="14" t="s"/>
      <c r="S140" s="14" t="s"/>
      <c r="T140" s="14" t="s"/>
      <c r="U140" s="14" t="s"/>
      <c r="AI140" s="14" t="s"/>
      <c r="AJ140" s="14" t="s"/>
      <c r="AK140" s="14" t="s"/>
      <c r="AL140" s="14" t="s"/>
      <c r="AM140" s="14" t="s"/>
      <c r="AN140" s="14" t="s"/>
      <c r="AO140" s="14" t="s"/>
      <c r="AP140" s="14" t="s"/>
      <c r="AQ140" s="14" t="s"/>
      <c r="AR140" s="14" t="s"/>
      <c r="AS140" s="14" t="s"/>
      <c r="AT140" s="14" t="s"/>
      <c r="AU140" s="14" t="s"/>
      <c r="AV140" s="14" t="s"/>
    </row>
    <row r="141" spans="1:48">
      <c r="A141" s="14" t="s"/>
      <c r="B141" s="14" t="s"/>
      <c r="C141" s="14" t="s"/>
      <c r="D141" s="14" t="s"/>
      <c r="E141" s="14" t="s"/>
      <c r="F141" s="14" t="s"/>
      <c r="G141" s="14" t="s"/>
      <c r="H141" s="14" t="s"/>
      <c r="I141" s="14" t="s"/>
      <c r="J141" s="14" t="s"/>
      <c r="K141" s="14" t="s"/>
      <c r="L141" s="14" t="s"/>
      <c r="M141" s="14" t="s"/>
      <c r="N141" s="14" t="s"/>
      <c r="O141" s="14" t="s"/>
      <c r="P141" s="14" t="s"/>
      <c r="Q141" s="14" t="s"/>
      <c r="R141" s="14" t="s"/>
      <c r="S141" s="14" t="s"/>
      <c r="T141" s="14" t="s"/>
      <c r="U141" s="14" t="s"/>
      <c r="AI141" s="14" t="s"/>
      <c r="AJ141" s="14" t="s"/>
      <c r="AK141" s="14" t="s"/>
      <c r="AL141" s="14" t="s"/>
      <c r="AM141" s="14" t="s"/>
      <c r="AN141" s="14" t="s"/>
      <c r="AO141" s="14" t="s"/>
      <c r="AP141" s="14" t="s"/>
      <c r="AQ141" s="14" t="s"/>
      <c r="AR141" s="14" t="s"/>
      <c r="AS141" s="14" t="s"/>
      <c r="AT141" s="14" t="s"/>
      <c r="AU141" s="14" t="s"/>
      <c r="AV141" s="14" t="s"/>
    </row>
    <row r="142" spans="1:48">
      <c r="A142" s="14" t="s"/>
      <c r="B142" s="14" t="s"/>
      <c r="C142" s="14" t="s"/>
      <c r="D142" s="14" t="s"/>
      <c r="E142" s="14" t="s"/>
      <c r="F142" s="14" t="s"/>
      <c r="G142" s="14" t="s"/>
      <c r="H142" s="14" t="s"/>
      <c r="I142" s="14" t="s"/>
      <c r="J142" s="14" t="s"/>
      <c r="K142" s="14" t="s"/>
      <c r="L142" s="14" t="s"/>
      <c r="M142" s="14" t="s"/>
      <c r="N142" s="14" t="s"/>
      <c r="O142" s="14" t="s"/>
      <c r="P142" s="14" t="s"/>
      <c r="Q142" s="14" t="s"/>
      <c r="R142" s="14" t="s"/>
      <c r="S142" s="14" t="s"/>
      <c r="T142" s="14" t="s"/>
      <c r="U142" s="14" t="s"/>
      <c r="AI142" s="14" t="s"/>
      <c r="AJ142" s="14" t="s"/>
      <c r="AK142" s="14" t="s"/>
      <c r="AL142" s="14" t="s"/>
      <c r="AM142" s="14" t="s"/>
      <c r="AN142" s="14" t="s"/>
      <c r="AO142" s="14" t="s"/>
      <c r="AP142" s="14" t="s"/>
      <c r="AQ142" s="14" t="s"/>
      <c r="AR142" s="14" t="s"/>
      <c r="AS142" s="14" t="s"/>
      <c r="AT142" s="14" t="s"/>
      <c r="AU142" s="14" t="s"/>
      <c r="AV142" s="14" t="s"/>
    </row>
    <row r="143" spans="1:48">
      <c r="A143" s="14" t="s"/>
      <c r="B143" s="14" t="s"/>
      <c r="C143" s="14" t="s"/>
      <c r="D143" s="14" t="s"/>
      <c r="E143" s="14" t="s"/>
      <c r="F143" s="14" t="s"/>
      <c r="G143" s="14" t="s"/>
      <c r="H143" s="14" t="s"/>
      <c r="I143" s="14" t="s"/>
      <c r="J143" s="14" t="s"/>
      <c r="K143" s="14" t="s"/>
      <c r="L143" s="14" t="s"/>
      <c r="M143" s="14" t="s"/>
      <c r="N143" s="14" t="s"/>
      <c r="O143" s="14" t="s"/>
      <c r="P143" s="14" t="s"/>
      <c r="Q143" s="14" t="s"/>
      <c r="R143" s="14" t="s"/>
      <c r="S143" s="14" t="s"/>
      <c r="T143" s="14" t="s"/>
      <c r="U143" s="14" t="s"/>
      <c r="AI143" s="14" t="s"/>
      <c r="AJ143" s="14" t="s"/>
      <c r="AK143" s="14" t="s"/>
      <c r="AL143" s="14" t="s"/>
      <c r="AM143" s="14" t="s"/>
      <c r="AN143" s="14" t="s"/>
      <c r="AO143" s="14" t="s"/>
      <c r="AP143" s="14" t="s"/>
      <c r="AQ143" s="14" t="s"/>
      <c r="AR143" s="14" t="s"/>
      <c r="AS143" s="14" t="s"/>
      <c r="AT143" s="14" t="s"/>
      <c r="AU143" s="14" t="s"/>
      <c r="AV143" s="14" t="s"/>
    </row>
    <row r="144" spans="1:48">
      <c r="A144" s="14" t="s"/>
      <c r="B144" s="14" t="s"/>
      <c r="C144" s="14" t="s"/>
      <c r="D144" s="14" t="s"/>
      <c r="E144" s="14" t="s"/>
      <c r="F144" s="14" t="s"/>
      <c r="G144" s="14" t="s"/>
      <c r="H144" s="14" t="s"/>
      <c r="I144" s="14" t="s"/>
      <c r="J144" s="14" t="s"/>
      <c r="K144" s="14" t="s"/>
      <c r="L144" s="14" t="s"/>
      <c r="M144" s="14" t="s"/>
      <c r="N144" s="14" t="s"/>
      <c r="O144" s="14" t="s"/>
      <c r="P144" s="14" t="s"/>
      <c r="Q144" s="14" t="s"/>
      <c r="R144" s="14" t="s"/>
      <c r="S144" s="14" t="s"/>
      <c r="T144" s="14" t="s"/>
      <c r="U144" s="14" t="s"/>
      <c r="AI144" s="14" t="s"/>
      <c r="AJ144" s="14" t="s"/>
      <c r="AK144" s="14" t="s"/>
      <c r="AL144" s="14" t="s"/>
      <c r="AM144" s="14" t="s"/>
      <c r="AN144" s="14" t="s"/>
      <c r="AO144" s="14" t="s"/>
      <c r="AP144" s="14" t="s"/>
      <c r="AQ144" s="14" t="s"/>
      <c r="AR144" s="14" t="s"/>
      <c r="AS144" s="14" t="s"/>
      <c r="AT144" s="14" t="s"/>
      <c r="AU144" s="14" t="s"/>
      <c r="AV144" s="14" t="s"/>
    </row>
    <row r="145" spans="1:48">
      <c r="A145" s="14" t="s"/>
      <c r="B145" s="14" t="s"/>
      <c r="C145" s="14" t="s"/>
      <c r="D145" s="14" t="s"/>
      <c r="E145" s="14" t="s"/>
      <c r="F145" s="14" t="s"/>
      <c r="G145" s="14" t="s"/>
      <c r="H145" s="14" t="s"/>
      <c r="I145" s="14" t="s"/>
      <c r="J145" s="14" t="s"/>
      <c r="K145" s="14" t="s"/>
      <c r="L145" s="14" t="s"/>
      <c r="M145" s="14" t="s"/>
      <c r="N145" s="14" t="s"/>
      <c r="O145" s="14" t="s"/>
      <c r="P145" s="14" t="s"/>
      <c r="Q145" s="14" t="s"/>
      <c r="R145" s="14" t="s"/>
      <c r="S145" s="14" t="s"/>
      <c r="T145" s="14" t="s"/>
      <c r="U145" s="14" t="s"/>
      <c r="AI145" s="14" t="s"/>
      <c r="AJ145" s="14" t="s"/>
      <c r="AK145" s="14" t="s"/>
      <c r="AL145" s="14" t="s"/>
      <c r="AM145" s="14" t="s"/>
      <c r="AN145" s="14" t="s"/>
      <c r="AO145" s="14" t="s"/>
      <c r="AP145" s="14" t="s"/>
      <c r="AQ145" s="14" t="s"/>
      <c r="AR145" s="14" t="s"/>
      <c r="AS145" s="14" t="s"/>
      <c r="AT145" s="14" t="s"/>
      <c r="AU145" s="14" t="s"/>
      <c r="AV145" s="14" t="s"/>
    </row>
    <row r="146" spans="1:48">
      <c r="A146" s="14" t="s"/>
      <c r="B146" s="14" t="s"/>
      <c r="C146" s="14" t="s"/>
      <c r="D146" s="14" t="s"/>
      <c r="E146" s="14" t="s"/>
      <c r="F146" s="14" t="s"/>
      <c r="G146" s="14" t="s"/>
      <c r="H146" s="14" t="s"/>
      <c r="I146" s="14" t="s"/>
      <c r="J146" s="14" t="s"/>
      <c r="K146" s="14" t="s"/>
      <c r="L146" s="14" t="s"/>
      <c r="M146" s="14" t="s"/>
      <c r="N146" s="14" t="s"/>
      <c r="O146" s="14" t="s"/>
      <c r="P146" s="14" t="s"/>
      <c r="Q146" s="14" t="s"/>
      <c r="R146" s="14" t="s"/>
      <c r="S146" s="14" t="s"/>
      <c r="T146" s="14" t="s"/>
      <c r="U146" s="14" t="s"/>
      <c r="AI146" s="14" t="s"/>
      <c r="AJ146" s="14" t="s"/>
      <c r="AK146" s="14" t="s"/>
      <c r="AL146" s="14" t="s"/>
      <c r="AM146" s="14" t="s"/>
      <c r="AN146" s="14" t="s"/>
      <c r="AO146" s="14" t="s"/>
      <c r="AP146" s="14" t="s"/>
      <c r="AQ146" s="14" t="s"/>
      <c r="AR146" s="14" t="s"/>
      <c r="AS146" s="14" t="s"/>
      <c r="AT146" s="14" t="s"/>
      <c r="AU146" s="14" t="s"/>
      <c r="AV146" s="14" t="s"/>
    </row>
    <row r="147" spans="1:48">
      <c r="A147" s="14" t="s"/>
      <c r="B147" s="14" t="s"/>
      <c r="C147" s="14" t="s"/>
      <c r="D147" s="14" t="s"/>
      <c r="E147" s="14" t="s"/>
      <c r="F147" s="14" t="s"/>
      <c r="G147" s="14" t="s"/>
      <c r="H147" s="14" t="s"/>
      <c r="I147" s="14" t="s"/>
      <c r="J147" s="14" t="s"/>
      <c r="K147" s="14" t="s"/>
      <c r="L147" s="14" t="s"/>
      <c r="M147" s="14" t="s"/>
      <c r="N147" s="14" t="s"/>
      <c r="O147" s="14" t="s"/>
      <c r="P147" s="14" t="s"/>
      <c r="Q147" s="14" t="s"/>
      <c r="R147" s="14" t="s"/>
      <c r="S147" s="14" t="s"/>
      <c r="T147" s="14" t="s"/>
      <c r="U147" s="14" t="s"/>
      <c r="AI147" s="14" t="s"/>
      <c r="AJ147" s="14" t="s"/>
      <c r="AK147" s="14" t="s"/>
      <c r="AL147" s="14" t="s"/>
      <c r="AM147" s="14" t="s"/>
      <c r="AN147" s="14" t="s"/>
      <c r="AO147" s="14" t="s"/>
      <c r="AP147" s="14" t="s"/>
      <c r="AQ147" s="14" t="s"/>
      <c r="AR147" s="14" t="s"/>
      <c r="AS147" s="14" t="s"/>
      <c r="AT147" s="14" t="s"/>
      <c r="AU147" s="14" t="s"/>
      <c r="AV147" s="14" t="s"/>
    </row>
    <row r="148" spans="1:48">
      <c r="A148" s="14" t="s"/>
      <c r="B148" s="14" t="s"/>
      <c r="C148" s="14" t="s"/>
      <c r="D148" s="14" t="s"/>
      <c r="E148" s="14" t="s"/>
      <c r="F148" s="14" t="s"/>
      <c r="G148" s="14" t="s"/>
      <c r="H148" s="14" t="s"/>
      <c r="I148" s="14" t="s"/>
      <c r="J148" s="14" t="s"/>
      <c r="K148" s="14" t="s"/>
      <c r="L148" s="14" t="s"/>
      <c r="M148" s="14" t="s"/>
      <c r="N148" s="14" t="s"/>
      <c r="O148" s="14" t="s"/>
      <c r="P148" s="14" t="s"/>
      <c r="Q148" s="14" t="s"/>
      <c r="R148" s="14" t="s"/>
      <c r="S148" s="14" t="s"/>
      <c r="T148" s="14" t="s"/>
      <c r="U148" s="14" t="s"/>
      <c r="AI148" s="14" t="s"/>
      <c r="AJ148" s="14" t="s"/>
      <c r="AK148" s="14" t="s"/>
      <c r="AL148" s="14" t="s"/>
      <c r="AM148" s="14" t="s"/>
      <c r="AN148" s="14" t="s"/>
      <c r="AO148" s="14" t="s"/>
      <c r="AP148" s="14" t="s"/>
      <c r="AQ148" s="14" t="s"/>
      <c r="AR148" s="14" t="s"/>
      <c r="AS148" s="14" t="s"/>
      <c r="AT148" s="14" t="s"/>
      <c r="AU148" s="14" t="s"/>
      <c r="AV148" s="14" t="s"/>
    </row>
    <row r="149" spans="1:48">
      <c r="A149" s="14" t="s"/>
      <c r="B149" s="14" t="s"/>
      <c r="C149" s="14" t="s"/>
      <c r="D149" s="14" t="s"/>
      <c r="E149" s="14" t="s"/>
      <c r="F149" s="14" t="s"/>
      <c r="G149" s="14" t="s"/>
      <c r="H149" s="14" t="s"/>
      <c r="I149" s="14" t="s"/>
      <c r="J149" s="14" t="s"/>
      <c r="K149" s="14" t="s"/>
      <c r="L149" s="14" t="s"/>
      <c r="M149" s="14" t="s"/>
      <c r="N149" s="14" t="s"/>
      <c r="O149" s="14" t="s"/>
      <c r="P149" s="14" t="s"/>
      <c r="Q149" s="14" t="s"/>
      <c r="R149" s="14" t="s"/>
      <c r="S149" s="14" t="s"/>
      <c r="T149" s="14" t="s"/>
      <c r="U149" s="14" t="s"/>
      <c r="AI149" s="14" t="s"/>
      <c r="AJ149" s="14" t="s"/>
      <c r="AK149" s="14" t="s"/>
      <c r="AL149" s="14" t="s"/>
      <c r="AM149" s="14" t="s"/>
      <c r="AN149" s="14" t="s"/>
      <c r="AO149" s="14" t="s"/>
      <c r="AP149" s="14" t="s"/>
      <c r="AQ149" s="14" t="s"/>
      <c r="AR149" s="14" t="s"/>
      <c r="AS149" s="14" t="s"/>
      <c r="AT149" s="14" t="s"/>
      <c r="AU149" s="14" t="s"/>
      <c r="AV149" s="14" t="s"/>
    </row>
    <row r="150" spans="1:48">
      <c r="A150" s="14" t="s"/>
      <c r="B150" s="14" t="s"/>
      <c r="C150" s="14" t="s"/>
      <c r="D150" s="14" t="s"/>
      <c r="E150" s="14" t="s"/>
      <c r="F150" s="14" t="s"/>
      <c r="G150" s="14" t="s"/>
      <c r="H150" s="14" t="s"/>
      <c r="I150" s="14" t="s"/>
      <c r="J150" s="14" t="s"/>
      <c r="K150" s="14" t="s"/>
      <c r="L150" s="14" t="s"/>
      <c r="M150" s="14" t="s"/>
      <c r="N150" s="14" t="s"/>
      <c r="O150" s="14" t="s"/>
      <c r="P150" s="14" t="s"/>
      <c r="Q150" s="14" t="s"/>
      <c r="R150" s="14" t="s"/>
      <c r="S150" s="14" t="s"/>
      <c r="T150" s="14" t="s"/>
      <c r="U150" s="14" t="s"/>
      <c r="AI150" s="14" t="s"/>
      <c r="AJ150" s="14" t="s"/>
      <c r="AK150" s="14" t="s"/>
      <c r="AL150" s="14" t="s"/>
      <c r="AM150" s="14" t="s"/>
      <c r="AN150" s="14" t="s"/>
      <c r="AO150" s="14" t="s"/>
      <c r="AP150" s="14" t="s"/>
      <c r="AQ150" s="14" t="s"/>
      <c r="AR150" s="14" t="s"/>
      <c r="AS150" s="14" t="s"/>
      <c r="AT150" s="14" t="s"/>
      <c r="AU150" s="14" t="s"/>
      <c r="AV150" s="14" t="s"/>
    </row>
    <row r="151" spans="1:48">
      <c r="A151" s="14" t="s"/>
      <c r="B151" s="14" t="s"/>
      <c r="C151" s="14" t="s"/>
      <c r="D151" s="14" t="s"/>
      <c r="E151" s="14" t="s"/>
      <c r="F151" s="14" t="s"/>
      <c r="G151" s="14" t="s"/>
      <c r="H151" s="14" t="s"/>
      <c r="I151" s="14" t="s"/>
      <c r="J151" s="14" t="s"/>
      <c r="K151" s="14" t="s"/>
      <c r="L151" s="14" t="s"/>
      <c r="M151" s="14" t="s"/>
      <c r="N151" s="14" t="s"/>
      <c r="O151" s="14" t="s"/>
      <c r="P151" s="14" t="s"/>
      <c r="Q151" s="14" t="s"/>
      <c r="R151" s="14" t="s"/>
      <c r="S151" s="14" t="s"/>
      <c r="T151" s="14" t="s"/>
      <c r="U151" s="14" t="s"/>
      <c r="AI151" s="14" t="s"/>
      <c r="AJ151" s="14" t="s"/>
      <c r="AK151" s="14" t="s"/>
      <c r="AL151" s="14" t="s"/>
      <c r="AM151" s="14" t="s"/>
      <c r="AN151" s="14" t="s"/>
      <c r="AO151" s="14" t="s"/>
      <c r="AP151" s="14" t="s"/>
      <c r="AQ151" s="14" t="s"/>
      <c r="AR151" s="14" t="s"/>
      <c r="AS151" s="14" t="s"/>
      <c r="AT151" s="14" t="s"/>
      <c r="AU151" s="14" t="s"/>
      <c r="AV151" s="14" t="s"/>
    </row>
  </sheetData>
  <hyperlinks>
    <hyperlink ref="AJ2" r:id="rId0"/>
    <hyperlink ref="AK2" r:id="rId1"/>
    <hyperlink ref="AL2" r:id="rId2"/>
    <hyperlink ref="AM2" r:id="rId3"/>
    <hyperlink ref="AN2" r:id="rId4"/>
    <hyperlink ref="AO2" r:id="rId5"/>
    <hyperlink ref="AP2" r:id="rId6"/>
    <hyperlink ref="AQ2" r:id="rId7"/>
    <hyperlink ref="AR2" r:id="rId8"/>
    <hyperlink ref="AJ3" r:id="rId9"/>
    <hyperlink ref="AJ4" r:id="rId10"/>
    <hyperlink ref="AJ5" r:id="rId11"/>
    <hyperlink ref="AJ6" r:id="rId12"/>
    <hyperlink ref="AJ11" r:id="rId13"/>
    <hyperlink ref="AJ14" r:id="rId14"/>
    <hyperlink ref="AK14" r:id="rId15"/>
    <hyperlink ref="AL14" r:id="rId16"/>
    <hyperlink ref="AM14" r:id="rId17"/>
    <hyperlink ref="AN14" r:id="rId18"/>
    <hyperlink ref="AO14" r:id="rId19"/>
    <hyperlink ref="AP14" r:id="rId20"/>
    <hyperlink ref="AQ14" r:id="rId21"/>
    <hyperlink ref="AR14" r:id="rId22"/>
    <hyperlink ref="AJ15" r:id="rId23"/>
    <hyperlink ref="AJ16" r:id="rId24"/>
    <hyperlink ref="AK16" r:id="rId25"/>
    <hyperlink ref="AL16" r:id="rId26"/>
    <hyperlink ref="AM16" r:id="rId27"/>
    <hyperlink ref="AN16" r:id="rId28"/>
    <hyperlink ref="AO16" r:id="rId29"/>
    <hyperlink ref="AP16" r:id="rId30"/>
    <hyperlink ref="AJ17" r:id="rId31"/>
    <hyperlink ref="AK17" r:id="rId32"/>
    <hyperlink ref="AL17" r:id="rId33"/>
    <hyperlink ref="AM17" r:id="rId34"/>
    <hyperlink ref="AJ18" r:id="rId35"/>
    <hyperlink ref="AK18" r:id="rId36"/>
    <hyperlink ref="AL18" r:id="rId37"/>
    <hyperlink ref="AM18" r:id="rId38"/>
    <hyperlink ref="AJ19" r:id="rId39"/>
    <hyperlink ref="AJ20" r:id="rId40"/>
    <hyperlink ref="AK20" r:id="rId41"/>
    <hyperlink ref="AL20" r:id="rId42"/>
    <hyperlink ref="AM20" r:id="rId43"/>
    <hyperlink ref="AN20" r:id="rId44"/>
    <hyperlink ref="AO20" r:id="rId45"/>
    <hyperlink ref="AP20" r:id="rId46"/>
    <hyperlink ref="AQ20" r:id="rId47"/>
    <hyperlink ref="AJ21" r:id="rId48"/>
    <hyperlink ref="AJ23" r:id="rId49"/>
    <hyperlink ref="AJ24" r:id="rId50"/>
    <hyperlink ref="AJ25" r:id="rId51"/>
    <hyperlink ref="AK25" r:id="rId52"/>
    <hyperlink ref="AL25" r:id="rId53"/>
    <hyperlink ref="AM25" r:id="rId54"/>
    <hyperlink ref="AJ26" r:id="rId55"/>
    <hyperlink ref="AJ30" r:id="rId56"/>
    <hyperlink ref="AJ33" r:id="rId57"/>
    <hyperlink ref="AJ34" r:id="rId58"/>
    <hyperlink ref="M38" r:id="rId59"/>
    <hyperlink ref="AJ42" r:id="rId60"/>
    <hyperlink ref="AK42" r:id="rId61"/>
    <hyperlink ref="AL42" r:id="rId62"/>
    <hyperlink ref="AM42" r:id="rId63"/>
    <hyperlink ref="AN42" r:id="rId64"/>
    <hyperlink ref="AJ44" r:id="rId65"/>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2026-01-12T16:22:33Z</dcterms:created>
  <dcterms:modified xsi:type="dcterms:W3CDTF">2026-01-12T16:22:33Z</dcterms:modified>
</cp:coreProperties>
</file>